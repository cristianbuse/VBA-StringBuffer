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StringBuffer\"/>
    </mc:Choice>
  </mc:AlternateContent>
  <xr:revisionPtr revIDLastSave="6" documentId="13_ncr:1_{3E86BA0A-174B-4301-9F80-6E59BF4AEE80}" xr6:coauthVersionLast="41" xr6:coauthVersionMax="41" xr10:uidLastSave="{A1968FDF-7DE6-47CA-A15E-CD09FEB38B44}"/>
  <bookViews>
    <workbookView xWindow="28680" yWindow="-120" windowWidth="29040" windowHeight="15840" activeTab="1" xr2:uid="{04DA5080-C394-4507-A411-D47671B82712}"/>
  </bookViews>
  <sheets>
    <sheet name="Append_Live Speed Tests" sheetId="2" r:id="rId1"/>
    <sheet name="Append_Saved Results" sheetId="3" r:id="rId2"/>
    <sheet name="Insert_Live Speed Tests" sheetId="4" r:id="rId3"/>
    <sheet name="Insert_Saved Results" sheetId="5" r:id="rId4"/>
  </sheets>
  <definedNames>
    <definedName name="Calculate" localSheetId="0">tblTestSpeedAppend[Select a Cell to Evaluate corresponding row]</definedName>
    <definedName name="Calculate" localSheetId="2">tblTestSpeedInsert[Select a Cell to Evaluate corresponding row]</definedName>
    <definedName name="TestNoBuffer" localSheetId="0">tblTestSpeedAppend[Time (seconds) to concatenate with no buffer]</definedName>
    <definedName name="TestNoCopyMemory" localSheetId="2">tblTestSpeedInsert[Time (seconds) to insert without copy memory]</definedName>
    <definedName name="TestWithBuffer" localSheetId="0">tblTestSpeedAppend[Time (seconds) to append with buffer]</definedName>
    <definedName name="TestWithCopyMemory" localSheetId="2">tblTestSpeedInsert[Time (seconds) to insert with copy memory]</definedName>
    <definedName name="WordLength" localSheetId="0">tblTestSpeedAppend[Word Length]</definedName>
    <definedName name="WordLength" localSheetId="2">tblTestSpeedInsert[Word Length]</definedName>
    <definedName name="WordsCount" localSheetId="0">tblTestSpeedAppend[Words Count]</definedName>
    <definedName name="WordsCount" localSheetId="2">tblTestSpeedInsert[Words Count]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3" i="5" l="1"/>
  <c r="I153" i="5"/>
  <c r="L152" i="5"/>
  <c r="I152" i="5"/>
  <c r="L151" i="5"/>
  <c r="I151" i="5"/>
  <c r="L150" i="5"/>
  <c r="I150" i="5"/>
  <c r="L149" i="5"/>
  <c r="I149" i="5"/>
  <c r="L148" i="5"/>
  <c r="I148" i="5"/>
  <c r="L147" i="5"/>
  <c r="I147" i="5"/>
  <c r="L146" i="5"/>
  <c r="I146" i="5"/>
  <c r="L145" i="5"/>
  <c r="I145" i="5"/>
  <c r="L144" i="5"/>
  <c r="I144" i="5"/>
  <c r="L143" i="5"/>
  <c r="I143" i="5"/>
  <c r="L142" i="5"/>
  <c r="I142" i="5"/>
  <c r="L141" i="5"/>
  <c r="I141" i="5"/>
  <c r="L140" i="5"/>
  <c r="I140" i="5"/>
  <c r="L139" i="5"/>
  <c r="I139" i="5"/>
  <c r="L138" i="5"/>
  <c r="I138" i="5"/>
  <c r="L137" i="5"/>
  <c r="I137" i="5"/>
  <c r="L136" i="5"/>
  <c r="I136" i="5"/>
  <c r="L135" i="5"/>
  <c r="I135" i="5"/>
  <c r="L134" i="5"/>
  <c r="I134" i="5"/>
  <c r="L133" i="5"/>
  <c r="I133" i="5"/>
  <c r="L132" i="5"/>
  <c r="I132" i="5"/>
  <c r="L131" i="5"/>
  <c r="I131" i="5"/>
  <c r="L130" i="5"/>
  <c r="I130" i="5"/>
  <c r="L129" i="5"/>
  <c r="I129" i="5"/>
  <c r="L128" i="5"/>
  <c r="I128" i="5"/>
  <c r="L127" i="5"/>
  <c r="I127" i="5"/>
  <c r="L126" i="5"/>
  <c r="I126" i="5"/>
  <c r="L125" i="5"/>
  <c r="I125" i="5"/>
  <c r="L124" i="5"/>
  <c r="I124" i="5"/>
  <c r="L123" i="5"/>
  <c r="I123" i="5"/>
  <c r="L122" i="5"/>
  <c r="I122" i="5"/>
  <c r="L121" i="5"/>
  <c r="I121" i="5"/>
  <c r="L120" i="5"/>
  <c r="I120" i="5"/>
  <c r="L119" i="5"/>
  <c r="I119" i="5"/>
  <c r="L118" i="5"/>
  <c r="I118" i="5"/>
  <c r="L117" i="5"/>
  <c r="I117" i="5"/>
  <c r="L116" i="5"/>
  <c r="I116" i="5"/>
  <c r="L115" i="5"/>
  <c r="I115" i="5"/>
  <c r="L114" i="5"/>
  <c r="I114" i="5"/>
  <c r="L113" i="5"/>
  <c r="I113" i="5"/>
  <c r="L112" i="5"/>
  <c r="I112" i="5"/>
  <c r="L111" i="5"/>
  <c r="I111" i="5"/>
  <c r="L110" i="5"/>
  <c r="I110" i="5"/>
  <c r="L109" i="5"/>
  <c r="I109" i="5"/>
  <c r="L108" i="5"/>
  <c r="I108" i="5"/>
  <c r="L107" i="5"/>
  <c r="I107" i="5"/>
  <c r="L106" i="5"/>
  <c r="I106" i="5"/>
  <c r="L105" i="5"/>
  <c r="I105" i="5"/>
  <c r="L104" i="5"/>
  <c r="I104" i="5"/>
  <c r="L103" i="5"/>
  <c r="I103" i="5"/>
  <c r="L102" i="5"/>
  <c r="I102" i="5"/>
  <c r="L101" i="5"/>
  <c r="I101" i="5"/>
  <c r="L100" i="5"/>
  <c r="I100" i="5"/>
  <c r="L99" i="5"/>
  <c r="I99" i="5"/>
  <c r="L98" i="5"/>
  <c r="I98" i="5"/>
  <c r="L97" i="5"/>
  <c r="I97" i="5"/>
  <c r="L96" i="5"/>
  <c r="I96" i="5"/>
  <c r="L95" i="5"/>
  <c r="I95" i="5"/>
  <c r="L94" i="5"/>
  <c r="I94" i="5"/>
  <c r="L93" i="5"/>
  <c r="I93" i="5"/>
  <c r="L92" i="5"/>
  <c r="I92" i="5"/>
  <c r="L91" i="5"/>
  <c r="I91" i="5"/>
  <c r="L90" i="5"/>
  <c r="I90" i="5"/>
  <c r="L89" i="5"/>
  <c r="I89" i="5"/>
  <c r="L88" i="5"/>
  <c r="I88" i="5"/>
  <c r="L87" i="5"/>
  <c r="I87" i="5"/>
  <c r="L86" i="5"/>
  <c r="I86" i="5"/>
  <c r="L85" i="5"/>
  <c r="I85" i="5"/>
  <c r="L84" i="5"/>
  <c r="I84" i="5"/>
  <c r="L83" i="5"/>
  <c r="I83" i="5"/>
  <c r="L82" i="5"/>
  <c r="I82" i="5"/>
  <c r="L81" i="5"/>
  <c r="I81" i="5"/>
  <c r="L80" i="5"/>
  <c r="I80" i="5"/>
  <c r="L79" i="5"/>
  <c r="I79" i="5"/>
  <c r="L78" i="5"/>
  <c r="I78" i="5"/>
  <c r="L77" i="5"/>
  <c r="I77" i="5"/>
  <c r="L76" i="5"/>
  <c r="I76" i="5"/>
  <c r="L75" i="5"/>
  <c r="I75" i="5"/>
  <c r="L74" i="5"/>
  <c r="I74" i="5"/>
  <c r="L73" i="5"/>
  <c r="I73" i="5"/>
  <c r="L72" i="5"/>
  <c r="I72" i="5"/>
  <c r="L71" i="5"/>
  <c r="I71" i="5"/>
  <c r="L70" i="5"/>
  <c r="I70" i="5"/>
  <c r="L69" i="5"/>
  <c r="I69" i="5"/>
  <c r="L68" i="5"/>
  <c r="I68" i="5"/>
  <c r="L67" i="5"/>
  <c r="I67" i="5"/>
  <c r="L66" i="5"/>
  <c r="I66" i="5"/>
  <c r="L65" i="5"/>
  <c r="I65" i="5"/>
  <c r="L64" i="5"/>
  <c r="I64" i="5"/>
  <c r="L63" i="5"/>
  <c r="I63" i="5"/>
  <c r="L62" i="5"/>
  <c r="I62" i="5"/>
  <c r="L61" i="5"/>
  <c r="I61" i="5"/>
  <c r="L60" i="5"/>
  <c r="I60" i="5"/>
  <c r="L59" i="5"/>
  <c r="I59" i="5"/>
  <c r="L58" i="5"/>
  <c r="I58" i="5"/>
  <c r="L57" i="5"/>
  <c r="I57" i="5"/>
  <c r="L56" i="5"/>
  <c r="I56" i="5"/>
  <c r="L55" i="5"/>
  <c r="I55" i="5"/>
  <c r="L54" i="5"/>
  <c r="I54" i="5"/>
  <c r="L53" i="5"/>
  <c r="I53" i="5"/>
  <c r="L52" i="5"/>
  <c r="I52" i="5"/>
  <c r="L51" i="5"/>
  <c r="I51" i="5"/>
  <c r="L50" i="5"/>
  <c r="I50" i="5"/>
  <c r="L49" i="5"/>
  <c r="I49" i="5"/>
  <c r="L48" i="5"/>
  <c r="I48" i="5"/>
  <c r="L47" i="5"/>
  <c r="I47" i="5"/>
  <c r="L46" i="5"/>
  <c r="I46" i="5"/>
  <c r="L45" i="5"/>
  <c r="I45" i="5"/>
  <c r="L44" i="5"/>
  <c r="I44" i="5"/>
  <c r="L43" i="5"/>
  <c r="I43" i="5"/>
  <c r="L42" i="5"/>
  <c r="I42" i="5"/>
  <c r="L41" i="5"/>
  <c r="I41" i="5"/>
  <c r="L40" i="5"/>
  <c r="I40" i="5"/>
  <c r="L39" i="5"/>
  <c r="I39" i="5"/>
  <c r="L38" i="5"/>
  <c r="I38" i="5"/>
  <c r="L37" i="5"/>
  <c r="I37" i="5"/>
  <c r="L36" i="5"/>
  <c r="I36" i="5"/>
  <c r="L35" i="5"/>
  <c r="I35" i="5"/>
  <c r="L34" i="5"/>
  <c r="I34" i="5"/>
  <c r="L33" i="5"/>
  <c r="I33" i="5"/>
  <c r="L32" i="5"/>
  <c r="I32" i="5"/>
  <c r="L31" i="5"/>
  <c r="I31" i="5"/>
  <c r="L30" i="5"/>
  <c r="I30" i="5"/>
  <c r="L29" i="5"/>
  <c r="I29" i="5"/>
  <c r="L28" i="5"/>
  <c r="I28" i="5"/>
  <c r="L27" i="5"/>
  <c r="I27" i="5"/>
  <c r="L26" i="5"/>
  <c r="I26" i="5"/>
  <c r="L25" i="5"/>
  <c r="I25" i="5"/>
  <c r="L24" i="5"/>
  <c r="I24" i="5"/>
  <c r="L23" i="5"/>
  <c r="I23" i="5"/>
  <c r="L22" i="5"/>
  <c r="I22" i="5"/>
  <c r="L21" i="5"/>
  <c r="I21" i="5"/>
  <c r="L20" i="5"/>
  <c r="I20" i="5"/>
  <c r="L19" i="5"/>
  <c r="I19" i="5"/>
  <c r="L18" i="5"/>
  <c r="I18" i="5"/>
  <c r="L17" i="5"/>
  <c r="I17" i="5"/>
  <c r="L16" i="5"/>
  <c r="I16" i="5"/>
  <c r="L15" i="5"/>
  <c r="I15" i="5"/>
  <c r="L14" i="5"/>
  <c r="I14" i="5"/>
  <c r="L13" i="5"/>
  <c r="I13" i="5"/>
  <c r="L12" i="5"/>
  <c r="I12" i="5"/>
  <c r="L11" i="5"/>
  <c r="I11" i="5"/>
  <c r="L10" i="5"/>
  <c r="I10" i="5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F42" i="4"/>
  <c r="E42" i="4"/>
  <c r="G41" i="4"/>
  <c r="D41" i="4"/>
  <c r="C41" i="4"/>
  <c r="G40" i="4"/>
  <c r="D40" i="4"/>
  <c r="C40" i="4"/>
  <c r="G39" i="4"/>
  <c r="D39" i="4"/>
  <c r="C39" i="4"/>
  <c r="G38" i="4"/>
  <c r="D38" i="4"/>
  <c r="C38" i="4"/>
  <c r="G37" i="4"/>
  <c r="D37" i="4"/>
  <c r="C37" i="4"/>
  <c r="G36" i="4"/>
  <c r="D36" i="4"/>
  <c r="C36" i="4"/>
  <c r="G35" i="4"/>
  <c r="D35" i="4"/>
  <c r="C35" i="4"/>
  <c r="G34" i="4"/>
  <c r="D34" i="4"/>
  <c r="C34" i="4"/>
  <c r="G33" i="4"/>
  <c r="D33" i="4"/>
  <c r="C33" i="4"/>
  <c r="G32" i="4"/>
  <c r="D32" i="4"/>
  <c r="C32" i="4"/>
  <c r="G31" i="4"/>
  <c r="D31" i="4"/>
  <c r="C31" i="4"/>
  <c r="G30" i="4"/>
  <c r="D30" i="4"/>
  <c r="C30" i="4"/>
  <c r="G29" i="4"/>
  <c r="D29" i="4"/>
  <c r="C29" i="4"/>
  <c r="G28" i="4"/>
  <c r="D28" i="4"/>
  <c r="C28" i="4"/>
  <c r="G27" i="4"/>
  <c r="D27" i="4"/>
  <c r="C27" i="4"/>
  <c r="G26" i="4"/>
  <c r="D26" i="4"/>
  <c r="C26" i="4"/>
  <c r="G25" i="4"/>
  <c r="D25" i="4"/>
  <c r="C25" i="4"/>
  <c r="G24" i="4"/>
  <c r="D24" i="4"/>
  <c r="C24" i="4"/>
  <c r="G23" i="4"/>
  <c r="D23" i="4"/>
  <c r="C23" i="4"/>
  <c r="G22" i="4"/>
  <c r="D22" i="4"/>
  <c r="C22" i="4"/>
  <c r="G21" i="4"/>
  <c r="D21" i="4"/>
  <c r="C21" i="4"/>
  <c r="G20" i="4"/>
  <c r="D20" i="4"/>
  <c r="C20" i="4"/>
  <c r="G19" i="4"/>
  <c r="D19" i="4"/>
  <c r="C19" i="4"/>
  <c r="G18" i="4"/>
  <c r="D18" i="4"/>
  <c r="C18" i="4"/>
  <c r="G17" i="4"/>
  <c r="D17" i="4"/>
  <c r="C17" i="4"/>
  <c r="G16" i="4"/>
  <c r="D16" i="4"/>
  <c r="C16" i="4"/>
  <c r="G15" i="4"/>
  <c r="D15" i="4"/>
  <c r="C15" i="4"/>
  <c r="G14" i="4"/>
  <c r="D14" i="4"/>
  <c r="C14" i="4"/>
  <c r="G13" i="4"/>
  <c r="D13" i="4"/>
  <c r="C13" i="4"/>
  <c r="G12" i="4"/>
  <c r="D12" i="4"/>
  <c r="C12" i="4"/>
  <c r="G11" i="4"/>
  <c r="D11" i="4"/>
  <c r="C11" i="4"/>
  <c r="G10" i="4"/>
  <c r="D10" i="4"/>
  <c r="C10" i="4"/>
  <c r="G9" i="4"/>
  <c r="D9" i="4"/>
  <c r="C9" i="4"/>
  <c r="G8" i="4"/>
  <c r="D8" i="4"/>
  <c r="C8" i="4"/>
  <c r="G7" i="4"/>
  <c r="D7" i="4"/>
  <c r="C7" i="4"/>
  <c r="G6" i="4"/>
  <c r="D6" i="4"/>
  <c r="C6" i="4"/>
  <c r="G5" i="4"/>
  <c r="D5" i="4"/>
  <c r="A1" i="4" s="1"/>
  <c r="C5" i="4"/>
  <c r="G4" i="4"/>
  <c r="D4" i="4"/>
  <c r="C4" i="4"/>
  <c r="L161" i="3"/>
  <c r="I161" i="3"/>
  <c r="L160" i="3"/>
  <c r="I160" i="3"/>
  <c r="L159" i="3"/>
  <c r="I159" i="3"/>
  <c r="L158" i="3"/>
  <c r="I158" i="3"/>
  <c r="L157" i="3"/>
  <c r="I157" i="3"/>
  <c r="L156" i="3"/>
  <c r="I156" i="3"/>
  <c r="L155" i="3"/>
  <c r="I155" i="3"/>
  <c r="L154" i="3"/>
  <c r="I154" i="3"/>
  <c r="L153" i="3"/>
  <c r="I153" i="3"/>
  <c r="L152" i="3"/>
  <c r="I152" i="3"/>
  <c r="L151" i="3"/>
  <c r="I151" i="3"/>
  <c r="L150" i="3"/>
  <c r="I150" i="3"/>
  <c r="L149" i="3"/>
  <c r="I149" i="3"/>
  <c r="L148" i="3"/>
  <c r="I148" i="3"/>
  <c r="L147" i="3"/>
  <c r="I147" i="3"/>
  <c r="L146" i="3"/>
  <c r="I146" i="3"/>
  <c r="L145" i="3"/>
  <c r="I145" i="3"/>
  <c r="L144" i="3"/>
  <c r="I144" i="3"/>
  <c r="L143" i="3"/>
  <c r="I143" i="3"/>
  <c r="L142" i="3"/>
  <c r="I142" i="3"/>
  <c r="L141" i="3"/>
  <c r="I141" i="3"/>
  <c r="L140" i="3"/>
  <c r="I140" i="3"/>
  <c r="L139" i="3"/>
  <c r="I139" i="3"/>
  <c r="L138" i="3"/>
  <c r="I138" i="3"/>
  <c r="L137" i="3"/>
  <c r="I137" i="3"/>
  <c r="L136" i="3"/>
  <c r="I136" i="3"/>
  <c r="L135" i="3"/>
  <c r="I135" i="3"/>
  <c r="L134" i="3"/>
  <c r="I134" i="3"/>
  <c r="L133" i="3"/>
  <c r="I133" i="3"/>
  <c r="L132" i="3"/>
  <c r="I132" i="3"/>
  <c r="L131" i="3"/>
  <c r="I131" i="3"/>
  <c r="L130" i="3"/>
  <c r="I130" i="3"/>
  <c r="L129" i="3"/>
  <c r="I129" i="3"/>
  <c r="L128" i="3"/>
  <c r="I128" i="3"/>
  <c r="L127" i="3"/>
  <c r="I127" i="3"/>
  <c r="L126" i="3"/>
  <c r="I126" i="3"/>
  <c r="L125" i="3"/>
  <c r="I125" i="3"/>
  <c r="L124" i="3"/>
  <c r="I124" i="3"/>
  <c r="L123" i="3"/>
  <c r="I123" i="3"/>
  <c r="L122" i="3"/>
  <c r="I122" i="3"/>
  <c r="L121" i="3"/>
  <c r="I121" i="3"/>
  <c r="L120" i="3"/>
  <c r="I120" i="3"/>
  <c r="L119" i="3"/>
  <c r="I119" i="3"/>
  <c r="L118" i="3"/>
  <c r="I118" i="3"/>
  <c r="L117" i="3"/>
  <c r="I117" i="3"/>
  <c r="L116" i="3"/>
  <c r="I116" i="3"/>
  <c r="L115" i="3"/>
  <c r="I115" i="3"/>
  <c r="L114" i="3"/>
  <c r="I114" i="3"/>
  <c r="L113" i="3"/>
  <c r="I113" i="3"/>
  <c r="L112" i="3"/>
  <c r="I112" i="3"/>
  <c r="L111" i="3"/>
  <c r="I111" i="3"/>
  <c r="L110" i="3"/>
  <c r="I110" i="3"/>
  <c r="L109" i="3"/>
  <c r="I109" i="3"/>
  <c r="L108" i="3"/>
  <c r="I108" i="3"/>
  <c r="L107" i="3"/>
  <c r="I107" i="3"/>
  <c r="L106" i="3"/>
  <c r="I106" i="3"/>
  <c r="L105" i="3"/>
  <c r="I105" i="3"/>
  <c r="L104" i="3"/>
  <c r="I104" i="3"/>
  <c r="L103" i="3"/>
  <c r="I103" i="3"/>
  <c r="L102" i="3"/>
  <c r="I102" i="3"/>
  <c r="L101" i="3"/>
  <c r="I101" i="3"/>
  <c r="L100" i="3"/>
  <c r="I100" i="3"/>
  <c r="L99" i="3"/>
  <c r="I99" i="3"/>
  <c r="L98" i="3"/>
  <c r="I98" i="3"/>
  <c r="L97" i="3"/>
  <c r="I97" i="3"/>
  <c r="L96" i="3"/>
  <c r="I96" i="3"/>
  <c r="L95" i="3"/>
  <c r="I95" i="3"/>
  <c r="L94" i="3"/>
  <c r="I94" i="3"/>
  <c r="L93" i="3"/>
  <c r="I93" i="3"/>
  <c r="L92" i="3"/>
  <c r="I92" i="3"/>
  <c r="L91" i="3"/>
  <c r="I91" i="3"/>
  <c r="L90" i="3"/>
  <c r="I90" i="3"/>
  <c r="L89" i="3"/>
  <c r="I89" i="3"/>
  <c r="L88" i="3"/>
  <c r="I88" i="3"/>
  <c r="L87" i="3"/>
  <c r="I87" i="3"/>
  <c r="L86" i="3"/>
  <c r="I86" i="3"/>
  <c r="L85" i="3"/>
  <c r="I85" i="3"/>
  <c r="L84" i="3"/>
  <c r="I84" i="3"/>
  <c r="L83" i="3"/>
  <c r="I83" i="3"/>
  <c r="L82" i="3"/>
  <c r="I82" i="3"/>
  <c r="L81" i="3"/>
  <c r="I81" i="3"/>
  <c r="L80" i="3"/>
  <c r="I80" i="3"/>
  <c r="L79" i="3"/>
  <c r="I79" i="3"/>
  <c r="L78" i="3"/>
  <c r="I78" i="3"/>
  <c r="L77" i="3"/>
  <c r="I77" i="3"/>
  <c r="L76" i="3"/>
  <c r="I76" i="3"/>
  <c r="L75" i="3"/>
  <c r="I75" i="3"/>
  <c r="L74" i="3"/>
  <c r="I74" i="3"/>
  <c r="L73" i="3"/>
  <c r="I73" i="3"/>
  <c r="L72" i="3"/>
  <c r="I72" i="3"/>
  <c r="L71" i="3"/>
  <c r="I71" i="3"/>
  <c r="L70" i="3"/>
  <c r="I70" i="3"/>
  <c r="L69" i="3"/>
  <c r="I69" i="3"/>
  <c r="L68" i="3"/>
  <c r="I68" i="3"/>
  <c r="L67" i="3"/>
  <c r="I67" i="3"/>
  <c r="L66" i="3"/>
  <c r="I66" i="3"/>
  <c r="L65" i="3"/>
  <c r="I65" i="3"/>
  <c r="L64" i="3"/>
  <c r="I64" i="3"/>
  <c r="L63" i="3"/>
  <c r="I63" i="3"/>
  <c r="L62" i="3"/>
  <c r="I62" i="3"/>
  <c r="L61" i="3"/>
  <c r="I61" i="3"/>
  <c r="L60" i="3"/>
  <c r="I60" i="3"/>
  <c r="L59" i="3"/>
  <c r="I59" i="3"/>
  <c r="L58" i="3"/>
  <c r="I58" i="3"/>
  <c r="L57" i="3"/>
  <c r="I57" i="3"/>
  <c r="L56" i="3"/>
  <c r="I56" i="3"/>
  <c r="L55" i="3"/>
  <c r="I55" i="3"/>
  <c r="L54" i="3"/>
  <c r="I54" i="3"/>
  <c r="L53" i="3"/>
  <c r="I53" i="3"/>
  <c r="L52" i="3"/>
  <c r="I52" i="3"/>
  <c r="L51" i="3"/>
  <c r="I51" i="3"/>
  <c r="L50" i="3"/>
  <c r="I50" i="3"/>
  <c r="L49" i="3"/>
  <c r="I49" i="3"/>
  <c r="L48" i="3"/>
  <c r="I48" i="3"/>
  <c r="L47" i="3"/>
  <c r="I47" i="3"/>
  <c r="L46" i="3"/>
  <c r="I46" i="3"/>
  <c r="L45" i="3"/>
  <c r="I45" i="3"/>
  <c r="L44" i="3"/>
  <c r="I44" i="3"/>
  <c r="L43" i="3"/>
  <c r="I43" i="3"/>
  <c r="L42" i="3"/>
  <c r="I42" i="3"/>
  <c r="L41" i="3"/>
  <c r="I41" i="3"/>
  <c r="L40" i="3"/>
  <c r="I40" i="3"/>
  <c r="L39" i="3"/>
  <c r="I39" i="3"/>
  <c r="L38" i="3"/>
  <c r="I38" i="3"/>
  <c r="L37" i="3"/>
  <c r="I37" i="3"/>
  <c r="L36" i="3"/>
  <c r="I36" i="3"/>
  <c r="L35" i="3"/>
  <c r="I35" i="3"/>
  <c r="L34" i="3"/>
  <c r="I34" i="3"/>
  <c r="L33" i="3"/>
  <c r="I33" i="3"/>
  <c r="L32" i="3"/>
  <c r="I32" i="3"/>
  <c r="L31" i="3"/>
  <c r="I31" i="3"/>
  <c r="L30" i="3"/>
  <c r="I30" i="3"/>
  <c r="L29" i="3"/>
  <c r="I29" i="3"/>
  <c r="L28" i="3"/>
  <c r="I28" i="3"/>
  <c r="L27" i="3"/>
  <c r="I27" i="3"/>
  <c r="L26" i="3"/>
  <c r="I26" i="3"/>
  <c r="L25" i="3"/>
  <c r="I25" i="3"/>
  <c r="L24" i="3"/>
  <c r="I24" i="3"/>
  <c r="L23" i="3"/>
  <c r="I23" i="3"/>
  <c r="L22" i="3"/>
  <c r="I22" i="3"/>
  <c r="L21" i="3"/>
  <c r="I21" i="3"/>
  <c r="L20" i="3"/>
  <c r="I20" i="3"/>
  <c r="L19" i="3"/>
  <c r="I19" i="3"/>
  <c r="L18" i="3"/>
  <c r="I18" i="3"/>
  <c r="L17" i="3"/>
  <c r="I17" i="3"/>
  <c r="L16" i="3"/>
  <c r="I16" i="3"/>
  <c r="L15" i="3"/>
  <c r="I15" i="3"/>
  <c r="L14" i="3"/>
  <c r="I14" i="3"/>
  <c r="L13" i="3"/>
  <c r="I13" i="3"/>
  <c r="L12" i="3"/>
  <c r="I12" i="3"/>
  <c r="L11" i="3"/>
  <c r="I11" i="3"/>
  <c r="L10" i="3"/>
  <c r="I10" i="3"/>
  <c r="L9" i="3"/>
  <c r="I9" i="3"/>
  <c r="L8" i="3"/>
  <c r="I8" i="3"/>
  <c r="L7" i="3"/>
  <c r="I7" i="3"/>
  <c r="L6" i="3"/>
  <c r="I6" i="3"/>
  <c r="L5" i="3"/>
  <c r="I5" i="3"/>
  <c r="L4" i="3"/>
  <c r="I4" i="3"/>
  <c r="L3" i="3"/>
  <c r="I3" i="3"/>
  <c r="L2" i="3"/>
  <c r="I2" i="3"/>
  <c r="F44" i="2"/>
  <c r="E44" i="2"/>
  <c r="G43" i="2"/>
  <c r="D43" i="2"/>
  <c r="C43" i="2"/>
  <c r="G42" i="2"/>
  <c r="D42" i="2"/>
  <c r="C42" i="2"/>
  <c r="G41" i="2"/>
  <c r="D41" i="2"/>
  <c r="C41" i="2"/>
  <c r="G40" i="2"/>
  <c r="D40" i="2"/>
  <c r="C40" i="2"/>
  <c r="G39" i="2"/>
  <c r="D39" i="2"/>
  <c r="C39" i="2"/>
  <c r="G38" i="2"/>
  <c r="D38" i="2"/>
  <c r="C38" i="2"/>
  <c r="G37" i="2"/>
  <c r="D37" i="2"/>
  <c r="C37" i="2"/>
  <c r="G36" i="2"/>
  <c r="D36" i="2"/>
  <c r="C36" i="2"/>
  <c r="G35" i="2"/>
  <c r="D35" i="2"/>
  <c r="C35" i="2"/>
  <c r="G34" i="2"/>
  <c r="D34" i="2"/>
  <c r="C34" i="2"/>
  <c r="G33" i="2"/>
  <c r="D33" i="2"/>
  <c r="C33" i="2"/>
  <c r="G32" i="2"/>
  <c r="D32" i="2"/>
  <c r="C32" i="2"/>
  <c r="G31" i="2"/>
  <c r="D31" i="2"/>
  <c r="C31" i="2"/>
  <c r="G30" i="2"/>
  <c r="D30" i="2"/>
  <c r="C30" i="2"/>
  <c r="G29" i="2"/>
  <c r="D29" i="2"/>
  <c r="C29" i="2"/>
  <c r="G28" i="2"/>
  <c r="D28" i="2"/>
  <c r="C28" i="2"/>
  <c r="G27" i="2"/>
  <c r="D27" i="2"/>
  <c r="C27" i="2"/>
  <c r="G26" i="2"/>
  <c r="D26" i="2"/>
  <c r="C26" i="2"/>
  <c r="G25" i="2"/>
  <c r="D25" i="2"/>
  <c r="C25" i="2"/>
  <c r="G24" i="2"/>
  <c r="D24" i="2"/>
  <c r="C24" i="2"/>
  <c r="G23" i="2"/>
  <c r="D23" i="2"/>
  <c r="C23" i="2"/>
  <c r="G22" i="2"/>
  <c r="D22" i="2"/>
  <c r="C22" i="2"/>
  <c r="G21" i="2"/>
  <c r="D21" i="2"/>
  <c r="C21" i="2"/>
  <c r="G20" i="2"/>
  <c r="D20" i="2"/>
  <c r="C20" i="2"/>
  <c r="G19" i="2"/>
  <c r="D19" i="2"/>
  <c r="C19" i="2"/>
  <c r="G18" i="2"/>
  <c r="D18" i="2"/>
  <c r="C18" i="2"/>
  <c r="G17" i="2"/>
  <c r="D17" i="2"/>
  <c r="C17" i="2"/>
  <c r="G16" i="2"/>
  <c r="D16" i="2"/>
  <c r="C16" i="2"/>
  <c r="G15" i="2"/>
  <c r="D15" i="2"/>
  <c r="C15" i="2"/>
  <c r="G14" i="2"/>
  <c r="D14" i="2"/>
  <c r="C14" i="2"/>
  <c r="G13" i="2"/>
  <c r="D13" i="2"/>
  <c r="C13" i="2"/>
  <c r="G12" i="2"/>
  <c r="D12" i="2"/>
  <c r="C12" i="2"/>
  <c r="G11" i="2"/>
  <c r="D11" i="2"/>
  <c r="C11" i="2"/>
  <c r="G10" i="2"/>
  <c r="D10" i="2"/>
  <c r="C10" i="2"/>
  <c r="G9" i="2"/>
  <c r="D9" i="2"/>
  <c r="C9" i="2"/>
  <c r="G8" i="2"/>
  <c r="D8" i="2"/>
  <c r="C8" i="2"/>
  <c r="G7" i="2"/>
  <c r="D7" i="2"/>
  <c r="C7" i="2"/>
  <c r="G6" i="2"/>
  <c r="D6" i="2"/>
  <c r="C6" i="2"/>
  <c r="G5" i="2"/>
  <c r="D5" i="2"/>
  <c r="C5" i="2"/>
  <c r="G4" i="2"/>
  <c r="D4" i="2"/>
  <c r="C4" i="2"/>
  <c r="A1" i="2"/>
</calcChain>
</file>

<file path=xl/sharedStrings.xml><?xml version="1.0" encoding="utf-8"?>
<sst xmlns="http://schemas.openxmlformats.org/spreadsheetml/2006/main" count="1602" uniqueCount="30">
  <si>
    <t>Add new rows to table and change the WordsCount and WordLength values, as needed!</t>
  </si>
  <si>
    <t>Words Count</t>
  </si>
  <si>
    <t>Word Length</t>
  </si>
  <si>
    <t>Total Characters</t>
  </si>
  <si>
    <t>Select a Cell to Evaluate corresponding row</t>
  </si>
  <si>
    <t>Time (seconds) to concatenate with no buffer</t>
  </si>
  <si>
    <t>Time (seconds) to append with buffer</t>
  </si>
  <si>
    <t>Times faster with buffer</t>
  </si>
  <si>
    <t>Total</t>
  </si>
  <si>
    <t>Configuration</t>
  </si>
  <si>
    <t>Operating System</t>
  </si>
  <si>
    <t>Platform</t>
  </si>
  <si>
    <t>Office Platform</t>
  </si>
  <si>
    <t>RAM</t>
  </si>
  <si>
    <t>Processor</t>
  </si>
  <si>
    <t>Windows 10</t>
  </si>
  <si>
    <t>x64</t>
  </si>
  <si>
    <t>x32</t>
  </si>
  <si>
    <t>32GB</t>
  </si>
  <si>
    <t>Intel Core i7 @2.9 GHz</t>
  </si>
  <si>
    <t>8GB</t>
  </si>
  <si>
    <t>Intel Core i7 @2.5 GHz</t>
  </si>
  <si>
    <t>Mac OS 10</t>
  </si>
  <si>
    <t>Intel Core i5 @2.3 GHz</t>
  </si>
  <si>
    <t>Windows 7</t>
  </si>
  <si>
    <t>6GB</t>
  </si>
  <si>
    <t>Intel Xeon E5 @2.4 GHz</t>
  </si>
  <si>
    <t>Time (seconds) to insert without copy memory</t>
  </si>
  <si>
    <t>Time (seconds) to insert with copy memory</t>
  </si>
  <si>
    <t>Times faster by using  copy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</si>
</sst>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&quot;x&quot;0.00;&quot;x&quot;0.00;&quot;=&quot;"/>
    <numFmt numFmtId="166" formatCode="#,##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1" applyFont="1"/>
    <xf numFmtId="3" fontId="3" fillId="0" borderId="0" xfId="2" applyNumberFormat="1" applyAlignment="1">
      <alignment horizontal="center"/>
    </xf>
    <xf numFmtId="164" fontId="0" fillId="0" borderId="0" xfId="3" applyFont="1"/>
    <xf numFmtId="165" fontId="0" fillId="0" borderId="0" xfId="1" applyNumberFormat="1" applyFont="1" applyAlignment="1"/>
    <xf numFmtId="3" fontId="3" fillId="0" borderId="0" xfId="2" applyNumberFormat="1" applyFill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65" fontId="0" fillId="0" borderId="0" xfId="0" applyNumberFormat="1" applyAlignment="1"/>
    <xf numFmtId="164" fontId="0" fillId="0" borderId="0" xfId="0" applyNumberFormat="1"/>
    <xf numFmtId="166" fontId="0" fillId="0" borderId="0" xfId="3" applyNumberFormat="1" applyFont="1"/>
    <xf numFmtId="164" fontId="0" fillId="0" borderId="0" xfId="3" applyFont="1" applyAlignment="1">
      <alignment horizontal="center" vertical="center" wrapText="1"/>
    </xf>
    <xf numFmtId="3" fontId="0" fillId="0" borderId="1" xfId="1" applyFont="1" applyBorder="1"/>
    <xf numFmtId="164" fontId="0" fillId="0" borderId="1" xfId="3" applyFont="1" applyBorder="1"/>
    <xf numFmtId="165" fontId="0" fillId="0" borderId="1" xfId="1" applyNumberFormat="1" applyFont="1" applyBorder="1" applyAlignment="1"/>
  </cellXfs>
  <cellStyles count="4">
    <cellStyle name="#,##0" xfId="1" xr:uid="{FEA3DA0F-3C68-43B2-8E62-95445A1F3DB5}"/>
    <cellStyle name="#,##0.000" xfId="3" xr:uid="{1A052769-3E0F-4B23-B012-1DBBE2314896}"/>
    <cellStyle name="Hyperlink" xfId="2" builtinId="8"/>
    <cellStyle name="Normal" xfId="0" builtinId="0"/>
  </cellStyles>
  <dxfs count="44"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155A2-F0A3-4937-85CA-C931D9B314CE}" name="tblTestSpeedAppend" displayName="tblTestSpeedAppend" ref="A3:G44" totalsRowCount="1" headerRowDxfId="42">
  <autoFilter ref="A3:G43" xr:uid="{00000000-0009-0000-0100-000001000000}"/>
  <sortState xmlns:xlrd2="http://schemas.microsoft.com/office/spreadsheetml/2017/richdata2" ref="A4:G43">
    <sortCondition ref="C3:C43"/>
  </sortState>
  <tableColumns count="7">
    <tableColumn id="1" xr3:uid="{5E030163-1290-4D48-8396-EA0BB5895741}" name="Words Count" totalsRowLabel="Total" totalsRowDxfId="41" dataCellStyle="#,##0"/>
    <tableColumn id="2" xr3:uid="{5FC82D29-17CD-452C-9375-076A8783F32F}" name="Word Length" totalsRowDxfId="40" dataCellStyle="#,##0"/>
    <tableColumn id="6" xr3:uid="{1B42AFC7-3211-48E7-8E28-185BC36F9FFE}" name="Total Characters" totalsRowDxfId="39" dataCellStyle="#,##0">
      <calculatedColumnFormula>tblTestSpeedAppend[[#This Row],[Words Count]]*tblTestSpeedAppend[[#This Row],[Word Length]]</calculatedColumnFormula>
    </tableColumn>
    <tableColumn id="8" xr3:uid="{1CE745E6-4647-4B1B-8EDD-C93FF782ABD9}" name="Select a Cell to Evaluate corresponding row" dataDxfId="38" totalsRowDxfId="37" dataCellStyle="Hyperlink">
      <calculatedColumnFormula>HYPERLINK("","Select Here")</calculatedColumnFormula>
    </tableColumn>
    <tableColumn id="3" xr3:uid="{ED664407-11A8-4181-9D25-78A950D769A8}" name="Time (seconds) to concatenate with no buffer" totalsRowFunction="sum" totalsRowDxfId="36" totalsRowCellStyle="#,##0.000"/>
    <tableColumn id="4" xr3:uid="{C6F5BFD4-2B6C-4249-96FF-A936D60928CB}" name="Time (seconds) to append with buffer" totalsRowFunction="sum" totalsRowDxfId="35" totalsRowCellStyle="#,##0.000"/>
    <tableColumn id="5" xr3:uid="{D5AD01FC-D2B6-4DB7-8F2D-0CC362D8537A}" name="Times faster with buffer" dataDxfId="34" totalsRowDxfId="33" dataCellStyle="#,##0">
      <calculatedColumnFormula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CE6B50-7780-4422-A017-7D20996ED572}" name="tblSavedAppendSpeed" displayName="tblSavedAppendSpeed" ref="A1:L161" headerRowDxfId="31">
  <autoFilter ref="A1:L161" xr:uid="{CC37F6BD-E38D-4D7D-BD8B-0C228C04BDDA}"/>
  <tableColumns count="12">
    <tableColumn id="11" xr3:uid="{43F64AFA-E5B3-4100-89AD-0A6929373DE0}" name="Configuration"/>
    <tableColumn id="7" xr3:uid="{AD5C7BC6-6C7D-4B95-A49C-C56239285B23}" name="Operating System"/>
    <tableColumn id="8" xr3:uid="{9A513792-D8CA-4336-99B3-D9DDEFA67711}" name="Platform"/>
    <tableColumn id="9" xr3:uid="{3003E9DD-8DD8-4FDC-A9CA-FEA4188F3B24}" name="Office Platform"/>
    <tableColumn id="10" xr3:uid="{B04676FD-F821-4A82-8816-3860A6B46696}" name="RAM"/>
    <tableColumn id="12" xr3:uid="{0A504D26-1674-4F8C-805D-354C0DE4ACAF}" name="Processor"/>
    <tableColumn id="1" xr3:uid="{40638F49-DBA0-4DEC-8F68-1F7B4CFF5361}" name="Words Count" totalsRowLabel="Total" dataDxfId="30" totalsRowDxfId="29" dataCellStyle="#,##0"/>
    <tableColumn id="2" xr3:uid="{9AE4987F-D35F-4F5B-AA63-3C532671C046}" name="Word Length" totalsRowDxfId="28" dataCellStyle="#,##0"/>
    <tableColumn id="6" xr3:uid="{632E5B8F-FC8D-40A5-9AAE-76A423C5FD8D}" name="Total Characters" totalsRowDxfId="27" dataCellStyle="#,##0">
      <calculatedColumnFormula>tblSavedAppendSpeed[[#This Row],[Words Count]]*tblSavedAppendSpeed[[#This Row],[Word Length]]</calculatedColumnFormula>
    </tableColumn>
    <tableColumn id="3" xr3:uid="{875EF7F5-7FB3-4136-992E-E8FF8D05D637}" name="Time (seconds) to concatenate with no buffer" totalsRowFunction="sum" dataDxfId="26" totalsRowDxfId="25" dataCellStyle="#,##0.000" totalsRowCellStyle="#,##0.000"/>
    <tableColumn id="4" xr3:uid="{3846407E-05F1-4AF9-BAC6-B140529EFE85}" name="Time (seconds) to append with buffer" totalsRowFunction="sum" totalsRowDxfId="24" dataCellStyle="#,##0.000" totalsRowCellStyle="#,##0.000"/>
    <tableColumn id="5" xr3:uid="{FCB25127-964E-4C39-BCCB-76172872961F}" name="Times faster with buffer" dataDxfId="23" totalsRowDxfId="22" dataCellStyle="#,##0">
      <calculatedColumnFormula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0D2071-BD9A-4643-BA17-1B6BEA001CFC}" name="tblTestSpeedInsert" displayName="tblTestSpeedInsert" ref="A3:G42" totalsRowCount="1" headerRowDxfId="20">
  <autoFilter ref="A3:G41" xr:uid="{00000000-0009-0000-0100-000001000000}"/>
  <sortState xmlns:xlrd2="http://schemas.microsoft.com/office/spreadsheetml/2017/richdata2" ref="A4:G41">
    <sortCondition ref="C3:C41"/>
  </sortState>
  <tableColumns count="7">
    <tableColumn id="1" xr3:uid="{05BFA3CA-6DA8-4FA6-95BE-8A220465AF8A}" name="Words Count" totalsRowLabel="Total" totalsRowDxfId="19" dataCellStyle="#,##0"/>
    <tableColumn id="2" xr3:uid="{5CCB7281-FED9-48F3-B237-C9EE4271DA5F}" name="Word Length" totalsRowDxfId="18" dataCellStyle="#,##0"/>
    <tableColumn id="6" xr3:uid="{EF1AA5A8-AC8A-4DE5-832F-9BF16BBF81A1}" name="Total Characters" totalsRowDxfId="17" dataCellStyle="#,##0">
      <calculatedColumnFormula>tblTestSpeedInsert[[#This Row],[Words Count]]*tblTestSpeedInsert[[#This Row],[Word Length]]</calculatedColumnFormula>
    </tableColumn>
    <tableColumn id="8" xr3:uid="{EE9E56F8-1AF5-4A82-9AAC-2CE919386CFB}" name="Select a Cell to Evaluate corresponding row" dataDxfId="16" totalsRowDxfId="15" dataCellStyle="Hyperlink">
      <calculatedColumnFormula>HYPERLINK("","Select Here")</calculatedColumnFormula>
    </tableColumn>
    <tableColumn id="3" xr3:uid="{A8DC4BEF-8F91-43C6-9BD7-746F82A85C1D}" name="Time (seconds) to insert without copy memory" totalsRowFunction="sum" totalsRowDxfId="14" totalsRowCellStyle="#,##0.000"/>
    <tableColumn id="4" xr3:uid="{F2224D1A-7DEF-4C6F-A3AF-DBFF2C9F1E49}" name="Time (seconds) to insert with copy memory" totalsRowFunction="sum" totalsRowDxfId="13" totalsRowCellStyle="#,##0.000"/>
    <tableColumn id="5" xr3:uid="{C5424043-F028-4002-964C-647B4C07E7AE}" name="Times faster by using  copy memory" dataDxfId="12" totalsRowDxfId="11" dataCellStyle="#,##0">
      <calculatedColumnFormula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D1F4A1-BF09-44C4-8396-DACFCAD87872}" name="tblSavedInsertSpeed" displayName="tblSavedInsertSpeed" ref="A1:L153" headerRowDxfId="9">
  <autoFilter ref="A1:L153" xr:uid="{58DA3837-56BB-4360-8DE9-089DAD16EB17}"/>
  <tableColumns count="12">
    <tableColumn id="13" xr3:uid="{58436B85-E241-4117-9F95-B92F3FCBA66A}" name="Configuration"/>
    <tableColumn id="7" xr3:uid="{C5EBFC7C-DA78-402B-99B4-907DEE0F971B}" name="Operating System"/>
    <tableColumn id="8" xr3:uid="{35E39535-8744-4CD2-8E60-80F6F59869B1}" name="Platform"/>
    <tableColumn id="9" xr3:uid="{B0B435E5-A858-427A-894C-42C248120105}" name="Office Platform"/>
    <tableColumn id="10" xr3:uid="{D73D6482-18D8-4D60-977B-4FB50E9A82BE}" name="RAM"/>
    <tableColumn id="11" xr3:uid="{AE5DF5C6-D559-49CE-A463-B59C98181713}" name="Processor"/>
    <tableColumn id="1" xr3:uid="{44E08E12-DC1E-44DB-92F8-5602F7C18FE6}" name="Words Count" totalsRowLabel="Total" dataDxfId="8" totalsRowDxfId="7" dataCellStyle="#,##0"/>
    <tableColumn id="2" xr3:uid="{7794999C-4634-4DD7-A5F9-73159B400BF5}" name="Word Length" totalsRowDxfId="6" dataCellStyle="#,##0"/>
    <tableColumn id="6" xr3:uid="{F26F35C4-640A-4BB3-97BE-FC48358E24D5}" name="Total Characters" totalsRowDxfId="5" dataCellStyle="#,##0">
      <calculatedColumnFormula>tblSavedInsertSpeed[[#This Row],[Words Count]]*tblSavedInsertSpeed[[#This Row],[Word Length]]</calculatedColumnFormula>
    </tableColumn>
    <tableColumn id="3" xr3:uid="{4BCDC3CF-E0E2-4082-9A76-78B048B13247}" name="Time (seconds) to insert without copy memory" totalsRowFunction="sum" dataDxfId="4" totalsRowDxfId="3" dataCellStyle="#,##0.000" totalsRowCellStyle="#,##0.000"/>
    <tableColumn id="4" xr3:uid="{67BC53F4-EB91-40DC-AE94-49FF4FDD1B43}" name="Time (seconds) to insert with copy memory" totalsRowFunction="sum" totalsRowDxfId="2" dataCellStyle="#,##0.000" totalsRowCellStyle="#,##0.000"/>
    <tableColumn id="5" xr3:uid="{AF16D738-CD35-4ECB-A135-89E74CC028DF}" name="Times faster by using  copy memory" dataDxfId="1" totalsRowDxfId="0" dataCellStyle="#,##0">
      <calculatedColumnFormula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5E1-2E5E-4D15-AB0B-EB8CF98D1E5B}">
  <sheetPr codeName="Sheet2">
    <tabColor theme="9"/>
  </sheetPr>
  <dimension ref="A1:L46"/>
  <sheetViews>
    <sheetView workbookViewId="0">
      <pane ySplit="3" topLeftCell="A19" activePane="bottomLeft" state="frozen"/>
      <selection activeCell="E30" sqref="E30:F30"/>
      <selection pane="bottomLeft" activeCell="J14" sqref="J14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"&amp;ADDRESS(ROW(INDEX(tblTestSpeedAppend[Select a Cell to Evaluate corresponding row],1)),COLUMN(INDEX(tblTestSpeedAppend[Select a Cell to Evaluate corresponding row],1)))&amp;":"&amp;ADDRESS(ROW(INDEX(tblTestSpeedAppend[Select a Cell to Evaluate corresponding row],COUNTA(tblTestSpeedAppend[Select a Cell to Evaluate corresponding row])+COUNTBLANK(tblTestSpeedAppend[Select a Cell to Evaluate corresponding row]))),COLUMN(INDEX(tblTestSpeedAppend[Select a Cell to Evaluate corresponding row],1)))&amp;" in order to trigger the Worksheet_SelectionChange Event which will run the 2 timing procedures!"</f>
        <v>Just select any cell in range $D$4:$D$43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5</v>
      </c>
      <c r="F3" s="2" t="s">
        <v>6</v>
      </c>
      <c r="G3" s="2" t="s">
        <v>7</v>
      </c>
    </row>
    <row r="4" spans="1:7" x14ac:dyDescent="0.25">
      <c r="A4" s="4">
        <v>10</v>
      </c>
      <c r="B4" s="4">
        <v>1000</v>
      </c>
      <c r="C4" s="4">
        <f>tblTestSpeedAppend[[#This Row],[Words Count]]*tblTestSpeedAppend[[#This Row],[Word Length]]</f>
        <v>10000</v>
      </c>
      <c r="D4" s="5" t="str">
        <f t="shared" ref="D4:D43" si="0">HYPERLINK("","Select Here")</f>
        <v>Select Here</v>
      </c>
      <c r="E4" s="6"/>
      <c r="F4" s="6"/>
      <c r="G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5" spans="1:7" x14ac:dyDescent="0.25">
      <c r="A5" s="4">
        <v>100</v>
      </c>
      <c r="B5" s="4">
        <v>100</v>
      </c>
      <c r="C5" s="4">
        <f>tblTestSpeedAppend[[#This Row],[Words Count]]*tblTestSpeedAppend[[#This Row],[Word Length]]</f>
        <v>10000</v>
      </c>
      <c r="D5" s="5" t="str">
        <f t="shared" si="0"/>
        <v>Select Here</v>
      </c>
      <c r="E5" s="6"/>
      <c r="F5" s="6"/>
      <c r="G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6" spans="1:7" x14ac:dyDescent="0.25">
      <c r="A6" s="4">
        <v>1000</v>
      </c>
      <c r="B6" s="4">
        <v>10</v>
      </c>
      <c r="C6" s="4">
        <f>tblTestSpeedAppend[[#This Row],[Words Count]]*tblTestSpeedAppend[[#This Row],[Word Length]]</f>
        <v>10000</v>
      </c>
      <c r="D6" s="5" t="str">
        <f t="shared" si="0"/>
        <v>Select Here</v>
      </c>
      <c r="E6" s="6"/>
      <c r="F6" s="6"/>
      <c r="G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7" spans="1:7" x14ac:dyDescent="0.25">
      <c r="A7" s="4">
        <v>2000</v>
      </c>
      <c r="B7" s="4">
        <v>5</v>
      </c>
      <c r="C7" s="4">
        <f>tblTestSpeedAppend[[#This Row],[Words Count]]*tblTestSpeedAppend[[#This Row],[Word Length]]</f>
        <v>10000</v>
      </c>
      <c r="D7" s="5" t="str">
        <f t="shared" si="0"/>
        <v>Select Here</v>
      </c>
      <c r="E7" s="6"/>
      <c r="F7" s="6"/>
      <c r="G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8" spans="1:7" x14ac:dyDescent="0.25">
      <c r="A8" s="4">
        <v>10000</v>
      </c>
      <c r="B8" s="4">
        <v>1</v>
      </c>
      <c r="C8" s="4">
        <f>tblTestSpeedAppend[[#This Row],[Words Count]]*tblTestSpeedAppend[[#This Row],[Word Length]]</f>
        <v>10000</v>
      </c>
      <c r="D8" s="5" t="str">
        <f t="shared" si="0"/>
        <v>Select Here</v>
      </c>
      <c r="E8" s="6"/>
      <c r="F8" s="6"/>
      <c r="G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9" spans="1:7" x14ac:dyDescent="0.25">
      <c r="A9" s="4">
        <v>200</v>
      </c>
      <c r="B9" s="4">
        <v>100</v>
      </c>
      <c r="C9" s="4">
        <f>tblTestSpeedAppend[[#This Row],[Words Count]]*tblTestSpeedAppend[[#This Row],[Word Length]]</f>
        <v>20000</v>
      </c>
      <c r="D9" s="5" t="str">
        <f t="shared" si="0"/>
        <v>Select Here</v>
      </c>
      <c r="E9" s="6"/>
      <c r="F9" s="6"/>
      <c r="G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0" spans="1:7" x14ac:dyDescent="0.25">
      <c r="A10" s="4">
        <v>20000</v>
      </c>
      <c r="B10" s="4">
        <v>1</v>
      </c>
      <c r="C10" s="4">
        <f>tblTestSpeedAppend[[#This Row],[Words Count]]*tblTestSpeedAppend[[#This Row],[Word Length]]</f>
        <v>20000</v>
      </c>
      <c r="D10" s="8" t="str">
        <f t="shared" si="0"/>
        <v>Select Here</v>
      </c>
      <c r="E10" s="6"/>
      <c r="F10" s="6"/>
      <c r="G1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1" spans="1:7" x14ac:dyDescent="0.25">
      <c r="A11" s="4">
        <v>500</v>
      </c>
      <c r="B11" s="4">
        <v>100</v>
      </c>
      <c r="C11" s="4">
        <f>tblTestSpeedAppend[[#This Row],[Words Count]]*tblTestSpeedAppend[[#This Row],[Word Length]]</f>
        <v>50000</v>
      </c>
      <c r="D11" s="5" t="str">
        <f t="shared" si="0"/>
        <v>Select Here</v>
      </c>
      <c r="E11" s="6"/>
      <c r="F11" s="6"/>
      <c r="G1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2" spans="1:7" x14ac:dyDescent="0.25">
      <c r="A12" s="4">
        <v>5000</v>
      </c>
      <c r="B12" s="4">
        <v>10</v>
      </c>
      <c r="C12" s="4">
        <f>tblTestSpeedAppend[[#This Row],[Words Count]]*tblTestSpeedAppend[[#This Row],[Word Length]]</f>
        <v>50000</v>
      </c>
      <c r="D12" s="5" t="str">
        <f t="shared" si="0"/>
        <v>Select Here</v>
      </c>
      <c r="E12" s="6"/>
      <c r="F12" s="6"/>
      <c r="G1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3" spans="1:7" x14ac:dyDescent="0.25">
      <c r="A13" s="4">
        <v>10000</v>
      </c>
      <c r="B13" s="4">
        <v>5</v>
      </c>
      <c r="C13" s="4">
        <f>tblTestSpeedAppend[[#This Row],[Words Count]]*tblTestSpeedAppend[[#This Row],[Word Length]]</f>
        <v>50000</v>
      </c>
      <c r="D13" s="5" t="str">
        <f t="shared" si="0"/>
        <v>Select Here</v>
      </c>
      <c r="E13" s="6"/>
      <c r="F13" s="6"/>
      <c r="G1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4" spans="1:7" x14ac:dyDescent="0.25">
      <c r="A14" s="4">
        <v>50000</v>
      </c>
      <c r="B14" s="4">
        <v>1</v>
      </c>
      <c r="C14" s="4">
        <f>tblTestSpeedAppend[[#This Row],[Words Count]]*tblTestSpeedAppend[[#This Row],[Word Length]]</f>
        <v>50000</v>
      </c>
      <c r="D14" s="8" t="str">
        <f t="shared" si="0"/>
        <v>Select Here</v>
      </c>
      <c r="E14" s="6"/>
      <c r="F14" s="6"/>
      <c r="G1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5" spans="1:7" x14ac:dyDescent="0.25">
      <c r="A15" s="4">
        <v>10</v>
      </c>
      <c r="B15" s="4">
        <v>10000</v>
      </c>
      <c r="C15" s="4">
        <f>tblTestSpeedAppend[[#This Row],[Words Count]]*tblTestSpeedAppend[[#This Row],[Word Length]]</f>
        <v>100000</v>
      </c>
      <c r="D15" s="5" t="str">
        <f t="shared" si="0"/>
        <v>Select Here</v>
      </c>
      <c r="E15" s="6"/>
      <c r="F15" s="6"/>
      <c r="G1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6" spans="1:7" x14ac:dyDescent="0.25">
      <c r="A16" s="4">
        <v>100</v>
      </c>
      <c r="B16" s="4">
        <v>1000</v>
      </c>
      <c r="C16" s="4">
        <f>tblTestSpeedAppend[[#This Row],[Words Count]]*tblTestSpeedAppend[[#This Row],[Word Length]]</f>
        <v>100000</v>
      </c>
      <c r="D16" s="5" t="str">
        <f t="shared" si="0"/>
        <v>Select Here</v>
      </c>
      <c r="E16" s="6"/>
      <c r="F16" s="6"/>
      <c r="G1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7" spans="1:7" x14ac:dyDescent="0.25">
      <c r="A17" s="4">
        <v>1000</v>
      </c>
      <c r="B17" s="4">
        <v>100</v>
      </c>
      <c r="C17" s="4">
        <f>tblTestSpeedAppend[[#This Row],[Words Count]]*tblTestSpeedAppend[[#This Row],[Word Length]]</f>
        <v>100000</v>
      </c>
      <c r="D17" s="5" t="str">
        <f t="shared" si="0"/>
        <v>Select Here</v>
      </c>
      <c r="E17" s="6"/>
      <c r="F17" s="6"/>
      <c r="G1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8" spans="1:7" x14ac:dyDescent="0.25">
      <c r="A18" s="4">
        <v>10000</v>
      </c>
      <c r="B18" s="4">
        <v>10</v>
      </c>
      <c r="C18" s="4">
        <f>tblTestSpeedAppend[[#This Row],[Words Count]]*tblTestSpeedAppend[[#This Row],[Word Length]]</f>
        <v>100000</v>
      </c>
      <c r="D18" s="5" t="str">
        <f t="shared" si="0"/>
        <v>Select Here</v>
      </c>
      <c r="E18" s="6"/>
      <c r="F18" s="6"/>
      <c r="G1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9" spans="1:7" x14ac:dyDescent="0.25">
      <c r="A19" s="4">
        <v>20000</v>
      </c>
      <c r="B19" s="4">
        <v>5</v>
      </c>
      <c r="C19" s="4">
        <f>tblTestSpeedAppend[[#This Row],[Words Count]]*tblTestSpeedAppend[[#This Row],[Word Length]]</f>
        <v>100000</v>
      </c>
      <c r="D19" s="5" t="str">
        <f t="shared" si="0"/>
        <v>Select Here</v>
      </c>
      <c r="E19" s="6"/>
      <c r="F19" s="6"/>
      <c r="G1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0" spans="1:7" x14ac:dyDescent="0.25">
      <c r="A20" s="4">
        <v>100000</v>
      </c>
      <c r="B20" s="4">
        <v>1</v>
      </c>
      <c r="C20" s="4">
        <f>tblTestSpeedAppend[[#This Row],[Words Count]]*tblTestSpeedAppend[[#This Row],[Word Length]]</f>
        <v>100000</v>
      </c>
      <c r="D20" s="5" t="str">
        <f t="shared" si="0"/>
        <v>Select Here</v>
      </c>
      <c r="E20" s="6"/>
      <c r="F20" s="6"/>
      <c r="G2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1" spans="1:7" x14ac:dyDescent="0.25">
      <c r="A21" s="4">
        <v>200</v>
      </c>
      <c r="B21" s="4">
        <v>1000</v>
      </c>
      <c r="C21" s="4">
        <f>tblTestSpeedAppend[[#This Row],[Words Count]]*tblTestSpeedAppend[[#This Row],[Word Length]]</f>
        <v>200000</v>
      </c>
      <c r="D21" s="5" t="str">
        <f t="shared" si="0"/>
        <v>Select Here</v>
      </c>
      <c r="E21" s="6"/>
      <c r="F21" s="6"/>
      <c r="G2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2" spans="1:7" x14ac:dyDescent="0.25">
      <c r="A22" s="4">
        <v>100000</v>
      </c>
      <c r="B22" s="4">
        <v>2</v>
      </c>
      <c r="C22" s="4">
        <f>tblTestSpeedAppend[[#This Row],[Words Count]]*tblTestSpeedAppend[[#This Row],[Word Length]]</f>
        <v>200000</v>
      </c>
      <c r="D22" s="5" t="str">
        <f t="shared" si="0"/>
        <v>Select Here</v>
      </c>
      <c r="E22" s="6"/>
      <c r="F22" s="6"/>
      <c r="G2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3" spans="1:7" x14ac:dyDescent="0.25">
      <c r="A23" s="4">
        <v>200000</v>
      </c>
      <c r="B23" s="4">
        <v>1</v>
      </c>
      <c r="C23" s="4">
        <f>tblTestSpeedAppend[[#This Row],[Words Count]]*tblTestSpeedAppend[[#This Row],[Word Length]]</f>
        <v>200000</v>
      </c>
      <c r="D23" s="5" t="str">
        <f t="shared" si="0"/>
        <v>Select Here</v>
      </c>
      <c r="E23" s="6"/>
      <c r="F23" s="6"/>
      <c r="G2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4" spans="1:7" x14ac:dyDescent="0.25">
      <c r="A24" s="4">
        <v>50000</v>
      </c>
      <c r="B24" s="4">
        <v>5</v>
      </c>
      <c r="C24" s="4">
        <f>tblTestSpeedAppend[[#This Row],[Words Count]]*tblTestSpeedAppend[[#This Row],[Word Length]]</f>
        <v>250000</v>
      </c>
      <c r="D24" s="5" t="str">
        <f t="shared" si="0"/>
        <v>Select Here</v>
      </c>
      <c r="E24" s="6"/>
      <c r="F24" s="6"/>
      <c r="G2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5" spans="1:7" x14ac:dyDescent="0.25">
      <c r="A25" s="4">
        <v>30000</v>
      </c>
      <c r="B25" s="4">
        <v>10</v>
      </c>
      <c r="C25" s="4">
        <f>tblTestSpeedAppend[[#This Row],[Words Count]]*tblTestSpeedAppend[[#This Row],[Word Length]]</f>
        <v>300000</v>
      </c>
      <c r="D25" s="5" t="str">
        <f t="shared" si="0"/>
        <v>Select Here</v>
      </c>
      <c r="E25" s="6"/>
      <c r="F25" s="6"/>
      <c r="G2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6" spans="1:7" x14ac:dyDescent="0.25">
      <c r="A26" s="4">
        <v>500</v>
      </c>
      <c r="B26" s="4">
        <v>1000</v>
      </c>
      <c r="C26" s="4">
        <f>tblTestSpeedAppend[[#This Row],[Words Count]]*tblTestSpeedAppend[[#This Row],[Word Length]]</f>
        <v>500000</v>
      </c>
      <c r="D26" s="5" t="str">
        <f t="shared" si="0"/>
        <v>Select Here</v>
      </c>
      <c r="E26" s="6"/>
      <c r="F26" s="6"/>
      <c r="G2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7" spans="1:7" x14ac:dyDescent="0.25">
      <c r="A27" s="4">
        <v>50000</v>
      </c>
      <c r="B27" s="4">
        <v>10</v>
      </c>
      <c r="C27" s="4">
        <f>tblTestSpeedAppend[[#This Row],[Words Count]]*tblTestSpeedAppend[[#This Row],[Word Length]]</f>
        <v>500000</v>
      </c>
      <c r="D27" s="5" t="str">
        <f t="shared" si="0"/>
        <v>Select Here</v>
      </c>
      <c r="E27" s="6"/>
      <c r="F27" s="6"/>
      <c r="G2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8" spans="1:7" x14ac:dyDescent="0.25">
      <c r="A28" s="4">
        <v>100000</v>
      </c>
      <c r="B28" s="4">
        <v>5</v>
      </c>
      <c r="C28" s="4">
        <f>tblTestSpeedAppend[[#This Row],[Words Count]]*tblTestSpeedAppend[[#This Row],[Word Length]]</f>
        <v>500000</v>
      </c>
      <c r="D28" s="5" t="str">
        <f t="shared" si="0"/>
        <v>Select Here</v>
      </c>
      <c r="E28" s="6"/>
      <c r="F28" s="6"/>
      <c r="G2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9" spans="1:7" x14ac:dyDescent="0.25">
      <c r="A29" s="4">
        <v>100</v>
      </c>
      <c r="B29" s="4">
        <v>10000</v>
      </c>
      <c r="C29" s="4">
        <f>tblTestSpeedAppend[[#This Row],[Words Count]]*tblTestSpeedAppend[[#This Row],[Word Length]]</f>
        <v>1000000</v>
      </c>
      <c r="D29" s="5" t="str">
        <f t="shared" si="0"/>
        <v>Select Here</v>
      </c>
      <c r="E29" s="6"/>
      <c r="F29" s="6"/>
      <c r="G2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0" spans="1:7" x14ac:dyDescent="0.25">
      <c r="A30" s="4">
        <v>1000</v>
      </c>
      <c r="B30" s="4">
        <v>1000</v>
      </c>
      <c r="C30" s="4">
        <f>tblTestSpeedAppend[[#This Row],[Words Count]]*tblTestSpeedAppend[[#This Row],[Word Length]]</f>
        <v>1000000</v>
      </c>
      <c r="D30" s="5" t="str">
        <f t="shared" si="0"/>
        <v>Select Here</v>
      </c>
      <c r="E30" s="6"/>
      <c r="F30" s="6"/>
      <c r="G3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1" spans="1:7" x14ac:dyDescent="0.25">
      <c r="A31" s="4">
        <v>10000</v>
      </c>
      <c r="B31" s="4">
        <v>100</v>
      </c>
      <c r="C31" s="4">
        <f>tblTestSpeedAppend[[#This Row],[Words Count]]*tblTestSpeedAppend[[#This Row],[Word Length]]</f>
        <v>1000000</v>
      </c>
      <c r="D31" s="5" t="str">
        <f t="shared" si="0"/>
        <v>Select Here</v>
      </c>
      <c r="E31" s="6"/>
      <c r="F31" s="6"/>
      <c r="G3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2" spans="1:7" x14ac:dyDescent="0.25">
      <c r="A32" s="4">
        <v>100000</v>
      </c>
      <c r="B32" s="4">
        <v>10</v>
      </c>
      <c r="C32" s="4">
        <f>tblTestSpeedAppend[[#This Row],[Words Count]]*tblTestSpeedAppend[[#This Row],[Word Length]]</f>
        <v>1000000</v>
      </c>
      <c r="D32" s="5" t="str">
        <f t="shared" si="0"/>
        <v>Select Here</v>
      </c>
      <c r="E32" s="6"/>
      <c r="F32" s="6"/>
      <c r="G3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3" spans="1:12" x14ac:dyDescent="0.25">
      <c r="A33" s="4">
        <v>1000000</v>
      </c>
      <c r="B33" s="4">
        <v>1</v>
      </c>
      <c r="C33" s="4">
        <f>tblTestSpeedAppend[[#This Row],[Words Count]]*tblTestSpeedAppend[[#This Row],[Word Length]]</f>
        <v>1000000</v>
      </c>
      <c r="D33" s="5" t="str">
        <f t="shared" si="0"/>
        <v>Select Here</v>
      </c>
      <c r="E33" s="6"/>
      <c r="F33" s="6"/>
      <c r="G3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4" spans="1:12" x14ac:dyDescent="0.25">
      <c r="A34" s="4">
        <v>200</v>
      </c>
      <c r="B34" s="4">
        <v>10000</v>
      </c>
      <c r="C34" s="4">
        <f>tblTestSpeedAppend[[#This Row],[Words Count]]*tblTestSpeedAppend[[#This Row],[Word Length]]</f>
        <v>2000000</v>
      </c>
      <c r="D34" s="5" t="str">
        <f t="shared" si="0"/>
        <v>Select Here</v>
      </c>
      <c r="E34" s="6"/>
      <c r="F34" s="6"/>
      <c r="G3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5" spans="1:12" x14ac:dyDescent="0.25">
      <c r="A35" s="4">
        <v>500</v>
      </c>
      <c r="B35" s="4">
        <v>10000</v>
      </c>
      <c r="C35" s="4">
        <f>tblTestSpeedAppend[[#This Row],[Words Count]]*tblTestSpeedAppend[[#This Row],[Word Length]]</f>
        <v>5000000</v>
      </c>
      <c r="D35" s="5" t="str">
        <f t="shared" si="0"/>
        <v>Select Here</v>
      </c>
      <c r="E35" s="6"/>
      <c r="F35" s="6"/>
      <c r="G3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6" spans="1:12" x14ac:dyDescent="0.25">
      <c r="A36" s="4">
        <v>50000</v>
      </c>
      <c r="B36" s="4">
        <v>100</v>
      </c>
      <c r="C36" s="4">
        <f>tblTestSpeedAppend[[#This Row],[Words Count]]*tblTestSpeedAppend[[#This Row],[Word Length]]</f>
        <v>5000000</v>
      </c>
      <c r="D36" s="5" t="str">
        <f t="shared" si="0"/>
        <v>Select Here</v>
      </c>
      <c r="E36" s="6"/>
      <c r="F36" s="6"/>
      <c r="G3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7" spans="1:12" x14ac:dyDescent="0.25">
      <c r="A37" s="4">
        <v>10</v>
      </c>
      <c r="B37" s="4">
        <v>1000000</v>
      </c>
      <c r="C37" s="4">
        <f>tblTestSpeedAppend[[#This Row],[Words Count]]*tblTestSpeedAppend[[#This Row],[Word Length]]</f>
        <v>10000000</v>
      </c>
      <c r="D37" s="5" t="str">
        <f t="shared" si="0"/>
        <v>Select Here</v>
      </c>
      <c r="E37" s="6"/>
      <c r="F37" s="6"/>
      <c r="G3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8" spans="1:12" x14ac:dyDescent="0.25">
      <c r="A38" s="4">
        <v>100</v>
      </c>
      <c r="B38" s="4">
        <v>100000</v>
      </c>
      <c r="C38" s="4">
        <f>tblTestSpeedAppend[[#This Row],[Words Count]]*tblTestSpeedAppend[[#This Row],[Word Length]]</f>
        <v>10000000</v>
      </c>
      <c r="D38" s="5" t="str">
        <f t="shared" si="0"/>
        <v>Select Here</v>
      </c>
      <c r="E38" s="6"/>
      <c r="F38" s="6"/>
      <c r="G3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9" spans="1:12" x14ac:dyDescent="0.25">
      <c r="A39" s="4">
        <v>200</v>
      </c>
      <c r="B39" s="4">
        <v>50000</v>
      </c>
      <c r="C39" s="4">
        <f>tblTestSpeedAppend[[#This Row],[Words Count]]*tblTestSpeedAppend[[#This Row],[Word Length]]</f>
        <v>10000000</v>
      </c>
      <c r="D39" s="5" t="str">
        <f t="shared" si="0"/>
        <v>Select Here</v>
      </c>
      <c r="E39" s="6"/>
      <c r="F39" s="6"/>
      <c r="G3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0" spans="1:12" x14ac:dyDescent="0.25">
      <c r="A40" s="4">
        <v>500</v>
      </c>
      <c r="B40" s="4">
        <v>20000</v>
      </c>
      <c r="C40" s="4">
        <f>tblTestSpeedAppend[[#This Row],[Words Count]]*tblTestSpeedAppend[[#This Row],[Word Length]]</f>
        <v>10000000</v>
      </c>
      <c r="D40" s="5" t="str">
        <f t="shared" si="0"/>
        <v>Select Here</v>
      </c>
      <c r="E40" s="6"/>
      <c r="F40" s="6"/>
      <c r="G4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1" spans="1:12" x14ac:dyDescent="0.25">
      <c r="A41" s="4">
        <v>1000</v>
      </c>
      <c r="B41" s="4">
        <v>10000</v>
      </c>
      <c r="C41" s="4">
        <f>tblTestSpeedAppend[[#This Row],[Words Count]]*tblTestSpeedAppend[[#This Row],[Word Length]]</f>
        <v>10000000</v>
      </c>
      <c r="D41" s="5" t="str">
        <f t="shared" si="0"/>
        <v>Select Here</v>
      </c>
      <c r="E41" s="6"/>
      <c r="F41" s="6"/>
      <c r="G4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2" spans="1:12" x14ac:dyDescent="0.25">
      <c r="A42" s="4">
        <v>10000</v>
      </c>
      <c r="B42" s="4">
        <v>1000</v>
      </c>
      <c r="C42" s="4">
        <f>tblTestSpeedAppend[[#This Row],[Words Count]]*tblTestSpeedAppend[[#This Row],[Word Length]]</f>
        <v>10000000</v>
      </c>
      <c r="D42" s="5" t="str">
        <f t="shared" si="0"/>
        <v>Select Here</v>
      </c>
      <c r="E42" s="6"/>
      <c r="F42" s="6"/>
      <c r="G4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3" spans="1:12" x14ac:dyDescent="0.25">
      <c r="A43" s="4">
        <v>50000</v>
      </c>
      <c r="B43" s="4">
        <v>200</v>
      </c>
      <c r="C43" s="4">
        <f>tblTestSpeedAppend[[#This Row],[Words Count]]*tblTestSpeedAppend[[#This Row],[Word Length]]</f>
        <v>10000000</v>
      </c>
      <c r="D43" s="5" t="str">
        <f t="shared" si="0"/>
        <v>Select Here</v>
      </c>
      <c r="E43" s="6"/>
      <c r="F43" s="6"/>
      <c r="G4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4" spans="1:12" x14ac:dyDescent="0.25">
      <c r="A44" s="9" t="s">
        <v>8</v>
      </c>
      <c r="B44" s="9"/>
      <c r="C44" s="9"/>
      <c r="D44" s="10"/>
      <c r="E44" s="6">
        <f>SUBTOTAL(109,tblTestSpeedAppend[Time (seconds) to concatenate with no buffer])</f>
        <v>0</v>
      </c>
      <c r="F44" s="6">
        <f>SUBTOTAL(109,tblTestSpeedAppend[Time (seconds) to append with buffer])</f>
        <v>0</v>
      </c>
      <c r="G44" s="11"/>
    </row>
    <row r="46" spans="1:12" x14ac:dyDescent="0.25">
      <c r="E46" s="12"/>
      <c r="F46" s="12"/>
      <c r="L46" s="13"/>
    </row>
  </sheetData>
  <conditionalFormatting sqref="G4:G43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{582A94C3-513F-400C-B223-6283CA7EE079}</x14:id>
        </ext>
      </extLst>
    </cfRule>
  </conditionalFormatting>
  <conditionalFormatting sqref="E4:F43">
    <cfRule type="dataBar" priority="2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{5B2F3EA0-B2D1-4D6B-BEE3-D6B8BCD74A18}</x14:id>
        </ext>
      </extLst>
    </cfRule>
  </conditionalFormatting>
  <conditionalFormatting sqref="C4:C43">
    <cfRule type="cellIs" dxfId="43" priority="1" operator="greaterThan">
      <formula>2147483647</formula>
    </cfRule>
  </conditionalFormatting>
  <dataValidations count="1">
    <dataValidation type="whole" allowBlank="1" showInputMessage="1" showErrorMessage="1" sqref="A4:B43" xr:uid="{3A012031-313D-411B-ABD1-6CEB10E25992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2A94C3-513F-400C-B223-6283CA7EE079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G4:G43</xm:sqref>
        </x14:conditionalFormatting>
        <x14:conditionalFormatting xmlns:xm="http://schemas.microsoft.com/office/excel/2006/main">
          <x14:cfRule type="dataBar" id="{5B2F3EA0-B2D1-4D6B-BEE3-D6B8BCD74A1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B165-1A8C-4E0E-B97F-85D39F907EE1}">
  <sheetPr codeName="Sheet3"/>
  <dimension ref="A1:L161"/>
  <sheetViews>
    <sheetView tabSelected="1" workbookViewId="0">
      <pane ySplit="1" topLeftCell="A134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style="6" customWidth="1"/>
    <col min="13" max="13" width="16.42578125" bestFit="1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5</v>
      </c>
      <c r="K1" s="14" t="s">
        <v>6</v>
      </c>
      <c r="L1" s="2" t="s">
        <v>7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tblSavedAppendSpeed[[#This Row],[Words Count]]*tblSavedAppendSpeed[[#This Row],[Word Length]]</f>
        <v>10000</v>
      </c>
      <c r="J2" s="16">
        <v>0</v>
      </c>
      <c r="K2" s="6">
        <v>0</v>
      </c>
      <c r="L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tblSavedAppendSpeed[[#This Row],[Words Count]]*tblSavedAppendSpeed[[#This Row],[Word Length]]</f>
        <v>10000</v>
      </c>
      <c r="J3" s="16">
        <v>0</v>
      </c>
      <c r="K3" s="6">
        <v>0</v>
      </c>
      <c r="L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tblSavedAppendSpeed[[#This Row],[Words Count]]*tblSavedAppendSpeed[[#This Row],[Word Length]]</f>
        <v>10000</v>
      </c>
      <c r="J4" s="16">
        <v>0</v>
      </c>
      <c r="K4" s="6">
        <v>0</v>
      </c>
      <c r="L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tblSavedAppendSpeed[[#This Row],[Words Count]]*tblSavedAppendSpeed[[#This Row],[Word Length]]</f>
        <v>10000</v>
      </c>
      <c r="J5" s="16">
        <v>0</v>
      </c>
      <c r="K5" s="6">
        <v>0</v>
      </c>
      <c r="L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tblSavedAppendSpeed[[#This Row],[Words Count]]*tblSavedAppendSpeed[[#This Row],[Word Length]]</f>
        <v>10000</v>
      </c>
      <c r="J6" s="16">
        <v>0</v>
      </c>
      <c r="K6" s="6">
        <v>0</v>
      </c>
      <c r="L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tblSavedAppendSpeed[[#This Row],[Words Count]]*tblSavedAppendSpeed[[#This Row],[Word Length]]</f>
        <v>20000</v>
      </c>
      <c r="J7" s="16">
        <v>0</v>
      </c>
      <c r="K7" s="6">
        <v>0</v>
      </c>
      <c r="L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tblSavedAppendSpeed[[#This Row],[Words Count]]*tblSavedAppendSpeed[[#This Row],[Word Length]]</f>
        <v>20000</v>
      </c>
      <c r="J8" s="16">
        <v>1.6E-2</v>
      </c>
      <c r="K8" s="6">
        <v>4.0000000000000001E-3</v>
      </c>
      <c r="L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tblSavedAppendSpeed[[#This Row],[Words Count]]*tblSavedAppendSpeed[[#This Row],[Word Length]]</f>
        <v>50000</v>
      </c>
      <c r="J9" s="16">
        <v>4.0000000000000001E-3</v>
      </c>
      <c r="K9" s="6">
        <v>0</v>
      </c>
      <c r="L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tblSavedAppendSpeed[[#This Row],[Words Count]]*tblSavedAppendSpeed[[#This Row],[Word Length]]</f>
        <v>50000</v>
      </c>
      <c r="J10" s="16">
        <v>1.2E-2</v>
      </c>
      <c r="K10" s="6">
        <v>0</v>
      </c>
      <c r="L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tblSavedAppendSpeed[[#This Row],[Words Count]]*tblSavedAppendSpeed[[#This Row],[Word Length]]</f>
        <v>50000</v>
      </c>
      <c r="J11" s="16">
        <v>2.3E-2</v>
      </c>
      <c r="K11" s="6">
        <v>4.0000000000000001E-3</v>
      </c>
      <c r="L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tblSavedAppendSpeed[[#This Row],[Words Count]]*tblSavedAppendSpeed[[#This Row],[Word Length]]</f>
        <v>50000</v>
      </c>
      <c r="J12" s="16">
        <v>0.09</v>
      </c>
      <c r="K12" s="6">
        <v>8.0000000000000002E-3</v>
      </c>
      <c r="L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11.25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tblSavedAppendSpeed[[#This Row],[Words Count]]*tblSavedAppendSpeed[[#This Row],[Word Length]]</f>
        <v>100000</v>
      </c>
      <c r="J13" s="16">
        <v>0</v>
      </c>
      <c r="K13" s="6">
        <v>0</v>
      </c>
      <c r="L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tblSavedAppendSpeed[[#This Row],[Words Count]]*tblSavedAppendSpeed[[#This Row],[Word Length]]</f>
        <v>100000</v>
      </c>
      <c r="J14" s="16">
        <v>0</v>
      </c>
      <c r="K14" s="6">
        <v>0</v>
      </c>
      <c r="L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tblSavedAppendSpeed[[#This Row],[Words Count]]*tblSavedAppendSpeed[[#This Row],[Word Length]]</f>
        <v>100000</v>
      </c>
      <c r="J15" s="16">
        <v>4.0000000000000001E-3</v>
      </c>
      <c r="K15" s="6">
        <v>0</v>
      </c>
      <c r="L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tblSavedAppendSpeed[[#This Row],[Words Count]]*tblSavedAppendSpeed[[#This Row],[Word Length]]</f>
        <v>100000</v>
      </c>
      <c r="J16" s="16">
        <v>3.9E-2</v>
      </c>
      <c r="K16" s="6">
        <v>4.0000000000000001E-3</v>
      </c>
      <c r="L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9.75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tblSavedAppendSpeed[[#This Row],[Words Count]]*tblSavedAppendSpeed[[#This Row],[Word Length]]</f>
        <v>100000</v>
      </c>
      <c r="J17" s="16">
        <v>7.3999999999999996E-2</v>
      </c>
      <c r="K17" s="6">
        <v>4.0000000000000001E-3</v>
      </c>
      <c r="L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18.5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tblSavedAppendSpeed[[#This Row],[Words Count]]*tblSavedAppendSpeed[[#This Row],[Word Length]]</f>
        <v>100000</v>
      </c>
      <c r="J18" s="16">
        <v>0.35499999999999998</v>
      </c>
      <c r="K18" s="6">
        <v>0.02</v>
      </c>
      <c r="L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17.75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tblSavedAppendSpeed[[#This Row],[Words Count]]*tblSavedAppendSpeed[[#This Row],[Word Length]]</f>
        <v>200000</v>
      </c>
      <c r="J19" s="16">
        <v>4.0000000000000001E-3</v>
      </c>
      <c r="K19" s="6">
        <v>0</v>
      </c>
      <c r="L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tblSavedAppendSpeed[[#This Row],[Words Count]]*tblSavedAppendSpeed[[#This Row],[Word Length]]</f>
        <v>200000</v>
      </c>
      <c r="J20" s="16">
        <v>0.76200000000000001</v>
      </c>
      <c r="K20" s="6">
        <v>1.2E-2</v>
      </c>
      <c r="L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63.5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tblSavedAppendSpeed[[#This Row],[Words Count]]*tblSavedAppendSpeed[[#This Row],[Word Length]]</f>
        <v>200000</v>
      </c>
      <c r="J21" s="16">
        <v>1.512</v>
      </c>
      <c r="K21" s="6">
        <v>3.1E-2</v>
      </c>
      <c r="L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48.774193548387096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tblSavedAppendSpeed[[#This Row],[Words Count]]*tblSavedAppendSpeed[[#This Row],[Word Length]]</f>
        <v>250000</v>
      </c>
      <c r="J22" s="16">
        <v>0.48799999999999999</v>
      </c>
      <c r="K22" s="6">
        <v>8.0000000000000002E-3</v>
      </c>
      <c r="L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61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tblSavedAppendSpeed[[#This Row],[Words Count]]*tblSavedAppendSpeed[[#This Row],[Word Length]]</f>
        <v>300000</v>
      </c>
      <c r="J23" s="16">
        <v>1.3360000000000001</v>
      </c>
      <c r="K23" s="6">
        <v>8.0000000000000002E-3</v>
      </c>
      <c r="L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167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tblSavedAppendSpeed[[#This Row],[Words Count]]*tblSavedAppendSpeed[[#This Row],[Word Length]]</f>
        <v>500000</v>
      </c>
      <c r="J24" s="16">
        <v>9.8000000000000004E-2</v>
      </c>
      <c r="K24" s="6">
        <v>4.0000000000000001E-3</v>
      </c>
      <c r="L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24.5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tblSavedAppendSpeed[[#This Row],[Words Count]]*tblSavedAppendSpeed[[#This Row],[Word Length]]</f>
        <v>500000</v>
      </c>
      <c r="J25" s="16">
        <v>8.68</v>
      </c>
      <c r="K25" s="6">
        <v>1.6E-2</v>
      </c>
      <c r="L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542.5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tblSavedAppendSpeed[[#This Row],[Words Count]]*tblSavedAppendSpeed[[#This Row],[Word Length]]</f>
        <v>500000</v>
      </c>
      <c r="J26" s="16">
        <v>17.25</v>
      </c>
      <c r="K26" s="6">
        <v>0.02</v>
      </c>
      <c r="L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862.5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tblSavedAppendSpeed[[#This Row],[Words Count]]*tblSavedAppendSpeed[[#This Row],[Word Length]]</f>
        <v>1000000</v>
      </c>
      <c r="J27" s="16">
        <v>4.7E-2</v>
      </c>
      <c r="K27" s="6">
        <v>1.2E-2</v>
      </c>
      <c r="L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3.9166666666666665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tblSavedAppendSpeed[[#This Row],[Words Count]]*tblSavedAppendSpeed[[#This Row],[Word Length]]</f>
        <v>1000000</v>
      </c>
      <c r="J28" s="16">
        <v>0.43</v>
      </c>
      <c r="K28" s="6">
        <v>8.0000000000000002E-3</v>
      </c>
      <c r="L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53.75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tblSavedAppendSpeed[[#This Row],[Words Count]]*tblSavedAppendSpeed[[#This Row],[Word Length]]</f>
        <v>1000000</v>
      </c>
      <c r="J29" s="16">
        <v>4.1639999999999997</v>
      </c>
      <c r="K29" s="6">
        <v>0.02</v>
      </c>
      <c r="L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208.2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tblSavedAppendSpeed[[#This Row],[Words Count]]*tblSavedAppendSpeed[[#This Row],[Word Length]]</f>
        <v>1000000</v>
      </c>
      <c r="J30" s="16">
        <v>42.094000000000001</v>
      </c>
      <c r="K30" s="6">
        <v>2.7E-2</v>
      </c>
      <c r="L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1559.0370370370372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1000000</v>
      </c>
      <c r="H31" s="4">
        <v>1</v>
      </c>
      <c r="I31" s="4">
        <f>tblSavedAppendSpeed[[#This Row],[Words Count]]*tblSavedAppendSpeed[[#This Row],[Word Length]]</f>
        <v>1000000</v>
      </c>
      <c r="J31" s="16">
        <v>439.80900000000003</v>
      </c>
      <c r="K31" s="6">
        <v>0.14799999999999999</v>
      </c>
      <c r="L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2971.682432432433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200</v>
      </c>
      <c r="H32" s="4">
        <v>10000</v>
      </c>
      <c r="I32" s="4">
        <f>tblSavedAppendSpeed[[#This Row],[Words Count]]*tblSavedAppendSpeed[[#This Row],[Word Length]]</f>
        <v>2000000</v>
      </c>
      <c r="J32" s="16">
        <v>0.19900000000000001</v>
      </c>
      <c r="K32" s="6">
        <v>0.02</v>
      </c>
      <c r="L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9.9500000000000011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</v>
      </c>
      <c r="H33" s="4">
        <v>10000</v>
      </c>
      <c r="I33" s="4">
        <f>tblSavedAppendSpeed[[#This Row],[Words Count]]*tblSavedAppendSpeed[[#This Row],[Word Length]]</f>
        <v>5000000</v>
      </c>
      <c r="J33" s="16">
        <v>1.2110000000000001</v>
      </c>
      <c r="K33" s="6">
        <v>3.9E-2</v>
      </c>
      <c r="L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31.051282051282055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50000</v>
      </c>
      <c r="H34" s="4">
        <v>100</v>
      </c>
      <c r="I34" s="4">
        <f>tblSavedAppendSpeed[[#This Row],[Words Count]]*tblSavedAppendSpeed[[#This Row],[Word Length]]</f>
        <v>5000000</v>
      </c>
      <c r="J34" s="16">
        <v>122.68</v>
      </c>
      <c r="K34" s="6">
        <v>6.3E-2</v>
      </c>
      <c r="L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1947.3015873015875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</v>
      </c>
      <c r="H35" s="4">
        <v>1000000</v>
      </c>
      <c r="I35" s="4">
        <f>tblSavedAppendSpeed[[#This Row],[Words Count]]*tblSavedAppendSpeed[[#This Row],[Word Length]]</f>
        <v>10000000</v>
      </c>
      <c r="J35" s="16">
        <v>5.8999999999999997E-2</v>
      </c>
      <c r="K35" s="6">
        <v>8.5999999999999993E-2</v>
      </c>
      <c r="L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-1.4576271186440677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100</v>
      </c>
      <c r="H36" s="4">
        <v>100000</v>
      </c>
      <c r="I36" s="4">
        <f>tblSavedAppendSpeed[[#This Row],[Words Count]]*tblSavedAppendSpeed[[#This Row],[Word Length]]</f>
        <v>10000000</v>
      </c>
      <c r="J36" s="16">
        <v>0.504</v>
      </c>
      <c r="K36" s="6">
        <v>9.4E-2</v>
      </c>
      <c r="L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5.3617021276595747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200</v>
      </c>
      <c r="H37" s="4">
        <v>50000</v>
      </c>
      <c r="I37" s="4">
        <f>tblSavedAppendSpeed[[#This Row],[Words Count]]*tblSavedAppendSpeed[[#This Row],[Word Length]]</f>
        <v>10000000</v>
      </c>
      <c r="J37" s="16">
        <v>1.004</v>
      </c>
      <c r="K37" s="6">
        <v>9.4E-2</v>
      </c>
      <c r="L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10.680851063829786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500</v>
      </c>
      <c r="H38" s="4">
        <v>20000</v>
      </c>
      <c r="I38" s="4">
        <f>tblSavedAppendSpeed[[#This Row],[Words Count]]*tblSavedAppendSpeed[[#This Row],[Word Length]]</f>
        <v>10000000</v>
      </c>
      <c r="J38" s="16">
        <v>2.496</v>
      </c>
      <c r="K38" s="6">
        <v>7.3999999999999996E-2</v>
      </c>
      <c r="L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33.729729729729733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</v>
      </c>
      <c r="H39" s="4">
        <v>10000</v>
      </c>
      <c r="I39" s="4">
        <f>tblSavedAppendSpeed[[#This Row],[Words Count]]*tblSavedAppendSpeed[[#This Row],[Word Length]]</f>
        <v>10000000</v>
      </c>
      <c r="J39" s="16">
        <v>5.0590000000000002</v>
      </c>
      <c r="K39" s="6">
        <v>7.3999999999999996E-2</v>
      </c>
      <c r="L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68.36486486486487</v>
      </c>
    </row>
    <row r="40" spans="1:12" x14ac:dyDescent="0.25">
      <c r="A40">
        <v>1</v>
      </c>
      <c r="B40" t="s">
        <v>15</v>
      </c>
      <c r="C40" t="s">
        <v>16</v>
      </c>
      <c r="D40" t="s">
        <v>17</v>
      </c>
      <c r="E40" t="s">
        <v>18</v>
      </c>
      <c r="F40" t="s">
        <v>19</v>
      </c>
      <c r="G40" s="15">
        <v>10000</v>
      </c>
      <c r="H40" s="4">
        <v>1000</v>
      </c>
      <c r="I40" s="4">
        <f>tblSavedAppendSpeed[[#This Row],[Words Count]]*tblSavedAppendSpeed[[#This Row],[Word Length]]</f>
        <v>10000000</v>
      </c>
      <c r="J40" s="16">
        <v>49.433999999999997</v>
      </c>
      <c r="K40" s="6">
        <v>0.11700000000000001</v>
      </c>
      <c r="L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422.51282051282044</v>
      </c>
    </row>
    <row r="41" spans="1:12" x14ac:dyDescent="0.25">
      <c r="A41">
        <v>1</v>
      </c>
      <c r="B41" t="s">
        <v>15</v>
      </c>
      <c r="C41" t="s">
        <v>16</v>
      </c>
      <c r="D41" t="s">
        <v>17</v>
      </c>
      <c r="E41" t="s">
        <v>18</v>
      </c>
      <c r="F41" t="s">
        <v>19</v>
      </c>
      <c r="G41" s="15">
        <v>50000</v>
      </c>
      <c r="H41" s="4">
        <v>200</v>
      </c>
      <c r="I41" s="4">
        <f>tblSavedAppendSpeed[[#This Row],[Words Count]]*tblSavedAppendSpeed[[#This Row],[Word Length]]</f>
        <v>10000000</v>
      </c>
      <c r="J41" s="16">
        <v>248.70699999999999</v>
      </c>
      <c r="K41" s="6">
        <v>0.10199999999999999</v>
      </c>
      <c r="L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2438.3039215686276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</v>
      </c>
      <c r="H42" s="4">
        <v>1000</v>
      </c>
      <c r="I42" s="4">
        <f>tblSavedAppendSpeed[[#This Row],[Words Count]]*tblSavedAppendSpeed[[#This Row],[Word Length]]</f>
        <v>10000</v>
      </c>
      <c r="J42" s="16">
        <v>0</v>
      </c>
      <c r="K42" s="6">
        <v>0</v>
      </c>
      <c r="L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100</v>
      </c>
      <c r="H43" s="4">
        <v>100</v>
      </c>
      <c r="I43" s="4">
        <f>tblSavedAppendSpeed[[#This Row],[Words Count]]*tblSavedAppendSpeed[[#This Row],[Word Length]]</f>
        <v>10000</v>
      </c>
      <c r="J43" s="16">
        <v>0</v>
      </c>
      <c r="K43" s="6">
        <v>0</v>
      </c>
      <c r="L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</v>
      </c>
      <c r="H44" s="4">
        <v>10</v>
      </c>
      <c r="I44" s="4">
        <f>tblSavedAppendSpeed[[#This Row],[Words Count]]*tblSavedAppendSpeed[[#This Row],[Word Length]]</f>
        <v>10000</v>
      </c>
      <c r="J44" s="16">
        <v>0</v>
      </c>
      <c r="K44" s="6">
        <v>0</v>
      </c>
      <c r="L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2000</v>
      </c>
      <c r="H45" s="4">
        <v>5</v>
      </c>
      <c r="I45" s="4">
        <f>tblSavedAppendSpeed[[#This Row],[Words Count]]*tblSavedAppendSpeed[[#This Row],[Word Length]]</f>
        <v>10000</v>
      </c>
      <c r="J45" s="16">
        <v>0</v>
      </c>
      <c r="K45" s="6">
        <v>0</v>
      </c>
      <c r="L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10000</v>
      </c>
      <c r="H46" s="4">
        <v>1</v>
      </c>
      <c r="I46" s="4">
        <f>tblSavedAppendSpeed[[#This Row],[Words Count]]*tblSavedAppendSpeed[[#This Row],[Word Length]]</f>
        <v>10000</v>
      </c>
      <c r="J46" s="16">
        <v>8.0000000000000002E-3</v>
      </c>
      <c r="K46" s="6">
        <v>0</v>
      </c>
      <c r="L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200</v>
      </c>
      <c r="H47" s="4">
        <v>100</v>
      </c>
      <c r="I47" s="4">
        <f>tblSavedAppendSpeed[[#This Row],[Words Count]]*tblSavedAppendSpeed[[#This Row],[Word Length]]</f>
        <v>20000</v>
      </c>
      <c r="J47" s="16">
        <v>0</v>
      </c>
      <c r="K47" s="6">
        <v>0</v>
      </c>
      <c r="L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20000</v>
      </c>
      <c r="H48" s="4">
        <v>1</v>
      </c>
      <c r="I48" s="4">
        <f>tblSavedAppendSpeed[[#This Row],[Words Count]]*tblSavedAppendSpeed[[#This Row],[Word Length]]</f>
        <v>20000</v>
      </c>
      <c r="J48" s="16">
        <v>1.6E-2</v>
      </c>
      <c r="K48" s="6">
        <v>8.0000000000000002E-3</v>
      </c>
      <c r="L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500</v>
      </c>
      <c r="H49" s="4">
        <v>100</v>
      </c>
      <c r="I49" s="4">
        <f>tblSavedAppendSpeed[[#This Row],[Words Count]]*tblSavedAppendSpeed[[#This Row],[Word Length]]</f>
        <v>50000</v>
      </c>
      <c r="J49" s="16">
        <v>0</v>
      </c>
      <c r="K49" s="6">
        <v>0</v>
      </c>
      <c r="L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</v>
      </c>
      <c r="H50" s="4">
        <v>10</v>
      </c>
      <c r="I50" s="4">
        <f>tblSavedAppendSpeed[[#This Row],[Words Count]]*tblSavedAppendSpeed[[#This Row],[Word Length]]</f>
        <v>50000</v>
      </c>
      <c r="J50" s="16">
        <v>8.0000000000000002E-3</v>
      </c>
      <c r="K50" s="6">
        <v>0</v>
      </c>
      <c r="L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10000</v>
      </c>
      <c r="H51" s="4">
        <v>5</v>
      </c>
      <c r="I51" s="4">
        <f>tblSavedAppendSpeed[[#This Row],[Words Count]]*tblSavedAppendSpeed[[#This Row],[Word Length]]</f>
        <v>50000</v>
      </c>
      <c r="J51" s="16">
        <v>2.3E-2</v>
      </c>
      <c r="K51" s="6">
        <v>0</v>
      </c>
      <c r="L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46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50000</v>
      </c>
      <c r="H52" s="4">
        <v>1</v>
      </c>
      <c r="I52" s="4">
        <f>tblSavedAppendSpeed[[#This Row],[Words Count]]*tblSavedAppendSpeed[[#This Row],[Word Length]]</f>
        <v>50000</v>
      </c>
      <c r="J52" s="16">
        <v>0.11700000000000001</v>
      </c>
      <c r="K52" s="6">
        <v>8.0000000000000002E-3</v>
      </c>
      <c r="L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14.625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</v>
      </c>
      <c r="H53" s="4">
        <v>10000</v>
      </c>
      <c r="I53" s="4">
        <f>tblSavedAppendSpeed[[#This Row],[Words Count]]*tblSavedAppendSpeed[[#This Row],[Word Length]]</f>
        <v>100000</v>
      </c>
      <c r="J53" s="16">
        <v>0</v>
      </c>
      <c r="K53" s="6">
        <v>0</v>
      </c>
      <c r="L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</v>
      </c>
      <c r="H54" s="4">
        <v>1000</v>
      </c>
      <c r="I54" s="4">
        <f>tblSavedAppendSpeed[[#This Row],[Words Count]]*tblSavedAppendSpeed[[#This Row],[Word Length]]</f>
        <v>100000</v>
      </c>
      <c r="J54" s="16">
        <v>0</v>
      </c>
      <c r="K54" s="6">
        <v>0</v>
      </c>
      <c r="L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1000</v>
      </c>
      <c r="H55" s="4">
        <v>100</v>
      </c>
      <c r="I55" s="4">
        <f>tblSavedAppendSpeed[[#This Row],[Words Count]]*tblSavedAppendSpeed[[#This Row],[Word Length]]</f>
        <v>100000</v>
      </c>
      <c r="J55" s="16">
        <v>0</v>
      </c>
      <c r="K55" s="6">
        <v>0</v>
      </c>
      <c r="L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</v>
      </c>
      <c r="H56" s="4">
        <v>10</v>
      </c>
      <c r="I56" s="4">
        <f>tblSavedAppendSpeed[[#This Row],[Words Count]]*tblSavedAppendSpeed[[#This Row],[Word Length]]</f>
        <v>100000</v>
      </c>
      <c r="J56" s="16">
        <v>5.5E-2</v>
      </c>
      <c r="K56" s="6">
        <v>0</v>
      </c>
      <c r="L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110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20000</v>
      </c>
      <c r="H57" s="4">
        <v>5</v>
      </c>
      <c r="I57" s="4">
        <f>tblSavedAppendSpeed[[#This Row],[Words Count]]*tblSavedAppendSpeed[[#This Row],[Word Length]]</f>
        <v>100000</v>
      </c>
      <c r="J57" s="16">
        <v>0.10199999999999999</v>
      </c>
      <c r="K57" s="6">
        <v>8.0000000000000002E-3</v>
      </c>
      <c r="L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12.749999999999998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1</v>
      </c>
      <c r="I58" s="4">
        <f>tblSavedAppendSpeed[[#This Row],[Words Count]]*tblSavedAppendSpeed[[#This Row],[Word Length]]</f>
        <v>100000</v>
      </c>
      <c r="J58" s="16">
        <v>0.5</v>
      </c>
      <c r="K58" s="6">
        <v>1.6E-2</v>
      </c>
      <c r="L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31.25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</v>
      </c>
      <c r="H59" s="4">
        <v>1000</v>
      </c>
      <c r="I59" s="4">
        <f>tblSavedAppendSpeed[[#This Row],[Words Count]]*tblSavedAppendSpeed[[#This Row],[Word Length]]</f>
        <v>200000</v>
      </c>
      <c r="J59" s="16">
        <v>0</v>
      </c>
      <c r="K59" s="6">
        <v>0</v>
      </c>
      <c r="L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100000</v>
      </c>
      <c r="H60" s="4">
        <v>2</v>
      </c>
      <c r="I60" s="4">
        <f>tblSavedAppendSpeed[[#This Row],[Words Count]]*tblSavedAppendSpeed[[#This Row],[Word Length]]</f>
        <v>200000</v>
      </c>
      <c r="J60" s="16">
        <v>1.2110000000000001</v>
      </c>
      <c r="K60" s="6">
        <v>1.6E-2</v>
      </c>
      <c r="L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75.6875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200000</v>
      </c>
      <c r="H61" s="4">
        <v>1</v>
      </c>
      <c r="I61" s="4">
        <f>tblSavedAppendSpeed[[#This Row],[Words Count]]*tblSavedAppendSpeed[[#This Row],[Word Length]]</f>
        <v>200000</v>
      </c>
      <c r="J61" s="16">
        <v>2.1640000000000001</v>
      </c>
      <c r="K61" s="6">
        <v>3.1E-2</v>
      </c>
      <c r="L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69.806451612903231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50000</v>
      </c>
      <c r="H62" s="4">
        <v>5</v>
      </c>
      <c r="I62" s="4">
        <f>tblSavedAppendSpeed[[#This Row],[Words Count]]*tblSavedAppendSpeed[[#This Row],[Word Length]]</f>
        <v>250000</v>
      </c>
      <c r="J62" s="16">
        <v>0.71099999999999997</v>
      </c>
      <c r="K62" s="6">
        <v>8.0000000000000002E-3</v>
      </c>
      <c r="L6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88.875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30000</v>
      </c>
      <c r="H63" s="4">
        <v>10</v>
      </c>
      <c r="I63" s="4">
        <f>tblSavedAppendSpeed[[#This Row],[Words Count]]*tblSavedAppendSpeed[[#This Row],[Word Length]]</f>
        <v>300000</v>
      </c>
      <c r="J63" s="16">
        <v>0.49199999999999999</v>
      </c>
      <c r="K63" s="6">
        <v>0</v>
      </c>
      <c r="L6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984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500</v>
      </c>
      <c r="H64" s="4">
        <v>1000</v>
      </c>
      <c r="I64" s="4">
        <f>tblSavedAppendSpeed[[#This Row],[Words Count]]*tblSavedAppendSpeed[[#This Row],[Word Length]]</f>
        <v>500000</v>
      </c>
      <c r="J64" s="16">
        <v>7.0000000000000007E-2</v>
      </c>
      <c r="K64" s="6">
        <v>0</v>
      </c>
      <c r="L6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140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50000</v>
      </c>
      <c r="H65" s="4">
        <v>10</v>
      </c>
      <c r="I65" s="4">
        <f>tblSavedAppendSpeed[[#This Row],[Words Count]]*tblSavedAppendSpeed[[#This Row],[Word Length]]</f>
        <v>500000</v>
      </c>
      <c r="J65" s="16">
        <v>1.3440000000000001</v>
      </c>
      <c r="K65" s="6">
        <v>8.0000000000000002E-3</v>
      </c>
      <c r="L6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100000</v>
      </c>
      <c r="H66" s="4">
        <v>5</v>
      </c>
      <c r="I66" s="4">
        <f>tblSavedAppendSpeed[[#This Row],[Words Count]]*tblSavedAppendSpeed[[#This Row],[Word Length]]</f>
        <v>500000</v>
      </c>
      <c r="J66" s="16">
        <v>2.6949999999999998</v>
      </c>
      <c r="K66" s="6">
        <v>1.6E-2</v>
      </c>
      <c r="L6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168.4375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</v>
      </c>
      <c r="H67" s="4">
        <v>10000</v>
      </c>
      <c r="I67" s="4">
        <f>tblSavedAppendSpeed[[#This Row],[Words Count]]*tblSavedAppendSpeed[[#This Row],[Word Length]]</f>
        <v>1000000</v>
      </c>
      <c r="J67" s="16">
        <v>6.3E-2</v>
      </c>
      <c r="K67" s="6">
        <v>1.6E-2</v>
      </c>
      <c r="L6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3.9375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</v>
      </c>
      <c r="H68" s="4">
        <v>1000</v>
      </c>
      <c r="I68" s="4">
        <f>tblSavedAppendSpeed[[#This Row],[Words Count]]*tblSavedAppendSpeed[[#This Row],[Word Length]]</f>
        <v>1000000</v>
      </c>
      <c r="J68" s="16">
        <v>0.54700000000000004</v>
      </c>
      <c r="K68" s="6">
        <v>1.6E-2</v>
      </c>
      <c r="L6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34.1875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10000</v>
      </c>
      <c r="H69" s="4">
        <v>100</v>
      </c>
      <c r="I69" s="4">
        <f>tblSavedAppendSpeed[[#This Row],[Words Count]]*tblSavedAppendSpeed[[#This Row],[Word Length]]</f>
        <v>1000000</v>
      </c>
      <c r="J69" s="16">
        <v>5.3360000000000003</v>
      </c>
      <c r="K69" s="6">
        <v>1.6E-2</v>
      </c>
      <c r="L6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333.5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100000</v>
      </c>
      <c r="H70" s="4">
        <v>10</v>
      </c>
      <c r="I70" s="4">
        <f>tblSavedAppendSpeed[[#This Row],[Words Count]]*tblSavedAppendSpeed[[#This Row],[Word Length]]</f>
        <v>1000000</v>
      </c>
      <c r="J70" s="16">
        <v>53.805</v>
      </c>
      <c r="K70" s="6">
        <v>2.3E-2</v>
      </c>
      <c r="L7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2339.3478260869565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1000000</v>
      </c>
      <c r="H71" s="4">
        <v>1</v>
      </c>
      <c r="I71" s="4">
        <f>tblSavedAppendSpeed[[#This Row],[Words Count]]*tblSavedAppendSpeed[[#This Row],[Word Length]]</f>
        <v>1000000</v>
      </c>
      <c r="J71" s="16">
        <v>562.65599999999995</v>
      </c>
      <c r="K71" s="6">
        <v>0.14799999999999999</v>
      </c>
      <c r="L7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3801.7297297297296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200</v>
      </c>
      <c r="H72" s="4">
        <v>10000</v>
      </c>
      <c r="I72" s="4">
        <f>tblSavedAppendSpeed[[#This Row],[Words Count]]*tblSavedAppendSpeed[[#This Row],[Word Length]]</f>
        <v>2000000</v>
      </c>
      <c r="J72" s="16">
        <v>0.30499999999999999</v>
      </c>
      <c r="K72" s="6">
        <v>2.3E-2</v>
      </c>
      <c r="L7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13.260869565217391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500</v>
      </c>
      <c r="H73" s="4">
        <v>10000</v>
      </c>
      <c r="I73" s="4">
        <f>tblSavedAppendSpeed[[#This Row],[Words Count]]*tblSavedAppendSpeed[[#This Row],[Word Length]]</f>
        <v>5000000</v>
      </c>
      <c r="J73" s="16">
        <v>1.9059999999999999</v>
      </c>
      <c r="K73" s="6">
        <v>5.5E-2</v>
      </c>
      <c r="L7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34.654545454545456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50000</v>
      </c>
      <c r="H74" s="4">
        <v>100</v>
      </c>
      <c r="I74" s="4">
        <f>tblSavedAppendSpeed[[#This Row],[Words Count]]*tblSavedAppendSpeed[[#This Row],[Word Length]]</f>
        <v>5000000</v>
      </c>
      <c r="J74" s="16">
        <v>185.30500000000001</v>
      </c>
      <c r="K74" s="6">
        <v>7.0000000000000007E-2</v>
      </c>
      <c r="L7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2647.2142857142858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10</v>
      </c>
      <c r="H75" s="4">
        <v>1000000</v>
      </c>
      <c r="I75" s="4">
        <f>tblSavedAppendSpeed[[#This Row],[Words Count]]*tblSavedAppendSpeed[[#This Row],[Word Length]]</f>
        <v>10000000</v>
      </c>
      <c r="J75" s="16">
        <v>8.5999999999999993E-2</v>
      </c>
      <c r="K75" s="6">
        <v>0.11700000000000001</v>
      </c>
      <c r="L7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-1.36046511627907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</v>
      </c>
      <c r="H76" s="4">
        <v>100000</v>
      </c>
      <c r="I76" s="4">
        <f>tblSavedAppendSpeed[[#This Row],[Words Count]]*tblSavedAppendSpeed[[#This Row],[Word Length]]</f>
        <v>10000000</v>
      </c>
      <c r="J76" s="16">
        <v>0.77300000000000002</v>
      </c>
      <c r="K76" s="6">
        <v>0.125</v>
      </c>
      <c r="L7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6.1840000000000002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200</v>
      </c>
      <c r="H77" s="4">
        <v>50000</v>
      </c>
      <c r="I77" s="4">
        <f>tblSavedAppendSpeed[[#This Row],[Words Count]]*tblSavedAppendSpeed[[#This Row],[Word Length]]</f>
        <v>10000000</v>
      </c>
      <c r="J77" s="16">
        <v>1.5780000000000001</v>
      </c>
      <c r="K77" s="6">
        <v>0.125</v>
      </c>
      <c r="L7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12.624000000000001</v>
      </c>
    </row>
    <row r="78" spans="1:12" x14ac:dyDescent="0.25">
      <c r="A78">
        <v>2</v>
      </c>
      <c r="B78" t="s">
        <v>15</v>
      </c>
      <c r="C78" t="s">
        <v>16</v>
      </c>
      <c r="D78" t="s">
        <v>16</v>
      </c>
      <c r="E78" t="s">
        <v>20</v>
      </c>
      <c r="F78" t="s">
        <v>21</v>
      </c>
      <c r="G78" s="15">
        <v>500</v>
      </c>
      <c r="H78" s="4">
        <v>20000</v>
      </c>
      <c r="I78" s="4">
        <f>tblSavedAppendSpeed[[#This Row],[Words Count]]*tblSavedAppendSpeed[[#This Row],[Word Length]]</f>
        <v>10000000</v>
      </c>
      <c r="J78" s="16">
        <v>3.766</v>
      </c>
      <c r="K78" s="6">
        <v>0.10199999999999999</v>
      </c>
      <c r="L7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36.921568627450981</v>
      </c>
    </row>
    <row r="79" spans="1:12" x14ac:dyDescent="0.25">
      <c r="A79">
        <v>2</v>
      </c>
      <c r="B79" t="s">
        <v>15</v>
      </c>
      <c r="C79" t="s">
        <v>16</v>
      </c>
      <c r="D79" t="s">
        <v>16</v>
      </c>
      <c r="E79" t="s">
        <v>20</v>
      </c>
      <c r="F79" t="s">
        <v>21</v>
      </c>
      <c r="G79" s="15">
        <v>1000</v>
      </c>
      <c r="H79" s="4">
        <v>10000</v>
      </c>
      <c r="I79" s="4">
        <f>tblSavedAppendSpeed[[#This Row],[Words Count]]*tblSavedAppendSpeed[[#This Row],[Word Length]]</f>
        <v>10000000</v>
      </c>
      <c r="J79" s="16">
        <v>7.5860000000000003</v>
      </c>
      <c r="K79" s="6">
        <v>0.10199999999999999</v>
      </c>
      <c r="L7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74.372549019607845</v>
      </c>
    </row>
    <row r="80" spans="1:12" x14ac:dyDescent="0.25">
      <c r="A80">
        <v>2</v>
      </c>
      <c r="B80" t="s">
        <v>15</v>
      </c>
      <c r="C80" t="s">
        <v>16</v>
      </c>
      <c r="D80" t="s">
        <v>16</v>
      </c>
      <c r="E80" t="s">
        <v>20</v>
      </c>
      <c r="F80" t="s">
        <v>21</v>
      </c>
      <c r="G80" s="15">
        <v>10000</v>
      </c>
      <c r="H80" s="4">
        <v>1000</v>
      </c>
      <c r="I80" s="4">
        <f>tblSavedAppendSpeed[[#This Row],[Words Count]]*tblSavedAppendSpeed[[#This Row],[Word Length]]</f>
        <v>10000000</v>
      </c>
      <c r="J80" s="16">
        <v>76.210999999999999</v>
      </c>
      <c r="K80" s="6">
        <v>0.14799999999999999</v>
      </c>
      <c r="L8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514.93918918918916</v>
      </c>
    </row>
    <row r="81" spans="1:12" x14ac:dyDescent="0.25">
      <c r="A81">
        <v>2</v>
      </c>
      <c r="B81" t="s">
        <v>15</v>
      </c>
      <c r="C81" t="s">
        <v>16</v>
      </c>
      <c r="D81" t="s">
        <v>16</v>
      </c>
      <c r="E81" t="s">
        <v>20</v>
      </c>
      <c r="F81" t="s">
        <v>21</v>
      </c>
      <c r="G81" s="15">
        <v>50000</v>
      </c>
      <c r="H81" s="4">
        <v>200</v>
      </c>
      <c r="I81" s="4">
        <f>tblSavedAppendSpeed[[#This Row],[Words Count]]*tblSavedAppendSpeed[[#This Row],[Word Length]]</f>
        <v>10000000</v>
      </c>
      <c r="J81" s="16">
        <v>386.64800000000002</v>
      </c>
      <c r="K81" s="6">
        <v>0.13300000000000001</v>
      </c>
      <c r="L8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2907.1278195488721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</v>
      </c>
      <c r="H82" s="4">
        <v>1000</v>
      </c>
      <c r="I82" s="4">
        <f>tblSavedAppendSpeed[[#This Row],[Words Count]]*tblSavedAppendSpeed[[#This Row],[Word Length]]</f>
        <v>10000</v>
      </c>
      <c r="J82" s="16">
        <v>0</v>
      </c>
      <c r="K82" s="6">
        <v>0</v>
      </c>
      <c r="L8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100</v>
      </c>
      <c r="H83" s="4">
        <v>100</v>
      </c>
      <c r="I83" s="4">
        <f>tblSavedAppendSpeed[[#This Row],[Words Count]]*tblSavedAppendSpeed[[#This Row],[Word Length]]</f>
        <v>10000</v>
      </c>
      <c r="J83" s="16">
        <v>0</v>
      </c>
      <c r="K83" s="6">
        <v>0</v>
      </c>
      <c r="L8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1000</v>
      </c>
      <c r="H84" s="4">
        <v>10</v>
      </c>
      <c r="I84" s="4">
        <f>tblSavedAppendSpeed[[#This Row],[Words Count]]*tblSavedAppendSpeed[[#This Row],[Word Length]]</f>
        <v>10000</v>
      </c>
      <c r="J84" s="16">
        <v>0</v>
      </c>
      <c r="K84" s="6">
        <v>0</v>
      </c>
      <c r="L8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2000</v>
      </c>
      <c r="H85" s="4">
        <v>5</v>
      </c>
      <c r="I85" s="4">
        <f>tblSavedAppendSpeed[[#This Row],[Words Count]]*tblSavedAppendSpeed[[#This Row],[Word Length]]</f>
        <v>10000</v>
      </c>
      <c r="J85" s="16">
        <v>0.01</v>
      </c>
      <c r="K85" s="6">
        <v>0.01</v>
      </c>
      <c r="L8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10000</v>
      </c>
      <c r="H86" s="4">
        <v>1</v>
      </c>
      <c r="I86" s="4">
        <f>tblSavedAppendSpeed[[#This Row],[Words Count]]*tblSavedAppendSpeed[[#This Row],[Word Length]]</f>
        <v>10000</v>
      </c>
      <c r="J86" s="16">
        <v>0.01</v>
      </c>
      <c r="K86" s="6">
        <v>0.03</v>
      </c>
      <c r="L8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-3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200</v>
      </c>
      <c r="H87" s="4">
        <v>100</v>
      </c>
      <c r="I87" s="4">
        <f>tblSavedAppendSpeed[[#This Row],[Words Count]]*tblSavedAppendSpeed[[#This Row],[Word Length]]</f>
        <v>20000</v>
      </c>
      <c r="J87" s="16">
        <v>0</v>
      </c>
      <c r="K87" s="6">
        <v>0</v>
      </c>
      <c r="L8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20000</v>
      </c>
      <c r="H88" s="4">
        <v>1</v>
      </c>
      <c r="I88" s="4">
        <f>tblSavedAppendSpeed[[#This Row],[Words Count]]*tblSavedAppendSpeed[[#This Row],[Word Length]]</f>
        <v>20000</v>
      </c>
      <c r="J88" s="16">
        <v>0.02</v>
      </c>
      <c r="K88" s="6">
        <v>0.05</v>
      </c>
      <c r="L8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-2.5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500</v>
      </c>
      <c r="H89" s="4">
        <v>100</v>
      </c>
      <c r="I89" s="4">
        <f>tblSavedAppendSpeed[[#This Row],[Words Count]]*tblSavedAppendSpeed[[#This Row],[Word Length]]</f>
        <v>50000</v>
      </c>
      <c r="J89" s="16">
        <v>0</v>
      </c>
      <c r="K89" s="6">
        <v>0</v>
      </c>
      <c r="L8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5000</v>
      </c>
      <c r="H90" s="4">
        <v>10</v>
      </c>
      <c r="I90" s="4">
        <f>tblSavedAppendSpeed[[#This Row],[Words Count]]*tblSavedAppendSpeed[[#This Row],[Word Length]]</f>
        <v>50000</v>
      </c>
      <c r="J90" s="16">
        <v>0.02</v>
      </c>
      <c r="K90" s="6">
        <v>0.02</v>
      </c>
      <c r="L9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10000</v>
      </c>
      <c r="H91" s="4">
        <v>5</v>
      </c>
      <c r="I91" s="4">
        <f>tblSavedAppendSpeed[[#This Row],[Words Count]]*tblSavedAppendSpeed[[#This Row],[Word Length]]</f>
        <v>50000</v>
      </c>
      <c r="J91" s="16">
        <v>0.02</v>
      </c>
      <c r="K91" s="6">
        <v>0.02</v>
      </c>
      <c r="L9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50000</v>
      </c>
      <c r="H92" s="4">
        <v>1</v>
      </c>
      <c r="I92" s="4">
        <f>tblSavedAppendSpeed[[#This Row],[Words Count]]*tblSavedAppendSpeed[[#This Row],[Word Length]]</f>
        <v>50000</v>
      </c>
      <c r="J92" s="16">
        <v>0.1</v>
      </c>
      <c r="K92" s="6">
        <v>0.13</v>
      </c>
      <c r="L9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10</v>
      </c>
      <c r="H93" s="4">
        <v>10000</v>
      </c>
      <c r="I93" s="4">
        <f>tblSavedAppendSpeed[[#This Row],[Words Count]]*tblSavedAppendSpeed[[#This Row],[Word Length]]</f>
        <v>100000</v>
      </c>
      <c r="J93" s="16">
        <v>0</v>
      </c>
      <c r="K93" s="6">
        <v>0</v>
      </c>
      <c r="L9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</v>
      </c>
      <c r="H94" s="4">
        <v>1000</v>
      </c>
      <c r="I94" s="4">
        <f>tblSavedAppendSpeed[[#This Row],[Words Count]]*tblSavedAppendSpeed[[#This Row],[Word Length]]</f>
        <v>100000</v>
      </c>
      <c r="J94" s="16">
        <v>0</v>
      </c>
      <c r="K94" s="6">
        <v>0</v>
      </c>
      <c r="L9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1000</v>
      </c>
      <c r="H95" s="4">
        <v>100</v>
      </c>
      <c r="I95" s="4">
        <f>tblSavedAppendSpeed[[#This Row],[Words Count]]*tblSavedAppendSpeed[[#This Row],[Word Length]]</f>
        <v>100000</v>
      </c>
      <c r="J95" s="16">
        <v>0</v>
      </c>
      <c r="K95" s="6">
        <v>0</v>
      </c>
      <c r="L9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</v>
      </c>
      <c r="H96" s="4">
        <v>10</v>
      </c>
      <c r="I96" s="4">
        <f>tblSavedAppendSpeed[[#This Row],[Words Count]]*tblSavedAppendSpeed[[#This Row],[Word Length]]</f>
        <v>100000</v>
      </c>
      <c r="J96" s="16">
        <v>0.04</v>
      </c>
      <c r="K96" s="6">
        <v>0.03</v>
      </c>
      <c r="L9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1.3333333333333335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</v>
      </c>
      <c r="H97" s="4">
        <v>5</v>
      </c>
      <c r="I97" s="4">
        <f>tblSavedAppendSpeed[[#This Row],[Words Count]]*tblSavedAppendSpeed[[#This Row],[Word Length]]</f>
        <v>100000</v>
      </c>
      <c r="J97" s="16">
        <v>0.08</v>
      </c>
      <c r="K97" s="6">
        <v>0.05</v>
      </c>
      <c r="L9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1.5999999999999999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100000</v>
      </c>
      <c r="H98" s="4">
        <v>1</v>
      </c>
      <c r="I98" s="4">
        <f>tblSavedAppendSpeed[[#This Row],[Words Count]]*tblSavedAppendSpeed[[#This Row],[Word Length]]</f>
        <v>100000</v>
      </c>
      <c r="J98" s="16">
        <v>0.37</v>
      </c>
      <c r="K98" s="6">
        <v>0.26</v>
      </c>
      <c r="L9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1.4230769230769229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200</v>
      </c>
      <c r="H99" s="4">
        <v>1000</v>
      </c>
      <c r="I99" s="4">
        <f>tblSavedAppendSpeed[[#This Row],[Words Count]]*tblSavedAppendSpeed[[#This Row],[Word Length]]</f>
        <v>200000</v>
      </c>
      <c r="J99" s="16">
        <v>0.01</v>
      </c>
      <c r="K99" s="6">
        <v>0</v>
      </c>
      <c r="L9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100000</v>
      </c>
      <c r="H100" s="4">
        <v>2</v>
      </c>
      <c r="I100" s="4">
        <f>tblSavedAppendSpeed[[#This Row],[Words Count]]*tblSavedAppendSpeed[[#This Row],[Word Length]]</f>
        <v>200000</v>
      </c>
      <c r="J100" s="16">
        <v>0.75</v>
      </c>
      <c r="K100" s="6">
        <v>0.26</v>
      </c>
      <c r="L10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2.8846153846153846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200000</v>
      </c>
      <c r="H101" s="4">
        <v>1</v>
      </c>
      <c r="I101" s="4">
        <f>tblSavedAppendSpeed[[#This Row],[Words Count]]*tblSavedAppendSpeed[[#This Row],[Word Length]]</f>
        <v>200000</v>
      </c>
      <c r="J101" s="16">
        <v>1.48</v>
      </c>
      <c r="K101" s="6">
        <v>0.52</v>
      </c>
      <c r="L10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2.8461538461538458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50000</v>
      </c>
      <c r="H102" s="4">
        <v>5</v>
      </c>
      <c r="I102" s="4">
        <f>tblSavedAppendSpeed[[#This Row],[Words Count]]*tblSavedAppendSpeed[[#This Row],[Word Length]]</f>
        <v>250000</v>
      </c>
      <c r="J102" s="16">
        <v>0.48</v>
      </c>
      <c r="K102" s="6">
        <v>0.13</v>
      </c>
      <c r="L10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3.6923076923076921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30000</v>
      </c>
      <c r="H103" s="4">
        <v>10</v>
      </c>
      <c r="I103" s="4">
        <f>tblSavedAppendSpeed[[#This Row],[Words Count]]*tblSavedAppendSpeed[[#This Row],[Word Length]]</f>
        <v>300000</v>
      </c>
      <c r="J103" s="16">
        <v>0.37</v>
      </c>
      <c r="K103" s="6">
        <v>0.08</v>
      </c>
      <c r="L10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4.625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500</v>
      </c>
      <c r="H104" s="4">
        <v>1000</v>
      </c>
      <c r="I104" s="4">
        <f>tblSavedAppendSpeed[[#This Row],[Words Count]]*tblSavedAppendSpeed[[#This Row],[Word Length]]</f>
        <v>500000</v>
      </c>
      <c r="J104" s="16">
        <v>0.12</v>
      </c>
      <c r="K104" s="6">
        <v>0</v>
      </c>
      <c r="L10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50000</v>
      </c>
      <c r="H105" s="4">
        <v>10</v>
      </c>
      <c r="I105" s="4">
        <f>tblSavedAppendSpeed[[#This Row],[Words Count]]*tblSavedAppendSpeed[[#This Row],[Word Length]]</f>
        <v>500000</v>
      </c>
      <c r="J105" s="16">
        <v>1.06</v>
      </c>
      <c r="K105" s="6">
        <v>0.13</v>
      </c>
      <c r="L10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8.1538461538461533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5</v>
      </c>
      <c r="I106" s="4">
        <f>tblSavedAppendSpeed[[#This Row],[Words Count]]*tblSavedAppendSpeed[[#This Row],[Word Length]]</f>
        <v>500000</v>
      </c>
      <c r="J106" s="16">
        <v>2</v>
      </c>
      <c r="K106" s="6">
        <v>0.25</v>
      </c>
      <c r="L10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100</v>
      </c>
      <c r="H107" s="4">
        <v>10000</v>
      </c>
      <c r="I107" s="4">
        <f>tblSavedAppendSpeed[[#This Row],[Words Count]]*tblSavedAppendSpeed[[#This Row],[Word Length]]</f>
        <v>1000000</v>
      </c>
      <c r="J107" s="16">
        <v>0.06</v>
      </c>
      <c r="K107" s="6">
        <v>0.01</v>
      </c>
      <c r="L10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1000</v>
      </c>
      <c r="H108" s="4">
        <v>1000</v>
      </c>
      <c r="I108" s="4">
        <f>tblSavedAppendSpeed[[#This Row],[Words Count]]*tblSavedAppendSpeed[[#This Row],[Word Length]]</f>
        <v>1000000</v>
      </c>
      <c r="J108" s="16">
        <v>0.52</v>
      </c>
      <c r="K108" s="6">
        <v>0</v>
      </c>
      <c r="L10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1040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10000</v>
      </c>
      <c r="H109" s="4">
        <v>100</v>
      </c>
      <c r="I109" s="4">
        <f>tblSavedAppendSpeed[[#This Row],[Words Count]]*tblSavedAppendSpeed[[#This Row],[Word Length]]</f>
        <v>1000000</v>
      </c>
      <c r="J109" s="16">
        <v>1.1200000000000001</v>
      </c>
      <c r="K109" s="6">
        <v>0.03</v>
      </c>
      <c r="L10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37.333333333333336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100000</v>
      </c>
      <c r="H110" s="4">
        <v>10</v>
      </c>
      <c r="I110" s="4">
        <f>tblSavedAppendSpeed[[#This Row],[Words Count]]*tblSavedAppendSpeed[[#This Row],[Word Length]]</f>
        <v>1000000</v>
      </c>
      <c r="J110" s="16">
        <v>6.98</v>
      </c>
      <c r="K110" s="6">
        <v>0.26</v>
      </c>
      <c r="L1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26.846153846153847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1000000</v>
      </c>
      <c r="H111" s="4">
        <v>1</v>
      </c>
      <c r="I111" s="4">
        <f>tblSavedAppendSpeed[[#This Row],[Words Count]]*tblSavedAppendSpeed[[#This Row],[Word Length]]</f>
        <v>1000000</v>
      </c>
      <c r="J111" s="16">
        <v>61.4</v>
      </c>
      <c r="K111" s="6">
        <v>2.56</v>
      </c>
      <c r="L1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23.984375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10000</v>
      </c>
      <c r="I112" s="4">
        <f>tblSavedAppendSpeed[[#This Row],[Words Count]]*tblSavedAppendSpeed[[#This Row],[Word Length]]</f>
        <v>2000000</v>
      </c>
      <c r="J112" s="16">
        <v>0.2</v>
      </c>
      <c r="K112" s="6">
        <v>0.02</v>
      </c>
      <c r="L1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10000</v>
      </c>
      <c r="I113" s="4">
        <f>tblSavedAppendSpeed[[#This Row],[Words Count]]*tblSavedAppendSpeed[[#This Row],[Word Length]]</f>
        <v>5000000</v>
      </c>
      <c r="J113" s="16">
        <v>1.37</v>
      </c>
      <c r="K113" s="6">
        <v>0.03</v>
      </c>
      <c r="L1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45.666666666666671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50000</v>
      </c>
      <c r="H114" s="4">
        <v>100</v>
      </c>
      <c r="I114" s="4">
        <f>tblSavedAppendSpeed[[#This Row],[Words Count]]*tblSavedAppendSpeed[[#This Row],[Word Length]]</f>
        <v>5000000</v>
      </c>
      <c r="J114" s="16">
        <v>50.5</v>
      </c>
      <c r="K114" s="6">
        <v>0.17</v>
      </c>
      <c r="L1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297.05882352941177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</v>
      </c>
      <c r="H115" s="4">
        <v>1000000</v>
      </c>
      <c r="I115" s="4">
        <f>tblSavedAppendSpeed[[#This Row],[Words Count]]*tblSavedAppendSpeed[[#This Row],[Word Length]]</f>
        <v>10000000</v>
      </c>
      <c r="J115" s="16">
        <v>0.03</v>
      </c>
      <c r="K115" s="6">
        <v>7.0000000000000007E-2</v>
      </c>
      <c r="L1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-2.3333333333333335</v>
      </c>
    </row>
    <row r="116" spans="1:12" x14ac:dyDescent="0.25">
      <c r="A116">
        <v>3</v>
      </c>
      <c r="B116" t="s">
        <v>22</v>
      </c>
      <c r="C116" t="s">
        <v>16</v>
      </c>
      <c r="D116" t="s">
        <v>16</v>
      </c>
      <c r="E116" t="s">
        <v>20</v>
      </c>
      <c r="F116" t="s">
        <v>23</v>
      </c>
      <c r="G116" s="15">
        <v>100</v>
      </c>
      <c r="H116" s="4">
        <v>100000</v>
      </c>
      <c r="I116" s="4">
        <f>tblSavedAppendSpeed[[#This Row],[Words Count]]*tblSavedAppendSpeed[[#This Row],[Word Length]]</f>
        <v>10000000</v>
      </c>
      <c r="J116" s="16">
        <v>0.55000000000000004</v>
      </c>
      <c r="K116" s="6">
        <v>0.08</v>
      </c>
      <c r="L1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6.875</v>
      </c>
    </row>
    <row r="117" spans="1:12" x14ac:dyDescent="0.25">
      <c r="A117">
        <v>3</v>
      </c>
      <c r="B117" t="s">
        <v>22</v>
      </c>
      <c r="C117" t="s">
        <v>16</v>
      </c>
      <c r="D117" t="s">
        <v>16</v>
      </c>
      <c r="E117" t="s">
        <v>20</v>
      </c>
      <c r="F117" t="s">
        <v>23</v>
      </c>
      <c r="G117" s="15">
        <v>200</v>
      </c>
      <c r="H117" s="4">
        <v>50000</v>
      </c>
      <c r="I117" s="4">
        <f>tblSavedAppendSpeed[[#This Row],[Words Count]]*tblSavedAppendSpeed[[#This Row],[Word Length]]</f>
        <v>10000000</v>
      </c>
      <c r="J117" s="16">
        <v>1.1000000000000001</v>
      </c>
      <c r="K117" s="6">
        <v>0.08</v>
      </c>
      <c r="L1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13.75</v>
      </c>
    </row>
    <row r="118" spans="1:12" x14ac:dyDescent="0.25">
      <c r="A118">
        <v>3</v>
      </c>
      <c r="B118" t="s">
        <v>22</v>
      </c>
      <c r="C118" t="s">
        <v>16</v>
      </c>
      <c r="D118" t="s">
        <v>16</v>
      </c>
      <c r="E118" t="s">
        <v>20</v>
      </c>
      <c r="F118" t="s">
        <v>23</v>
      </c>
      <c r="G118" s="15">
        <v>500</v>
      </c>
      <c r="H118" s="4">
        <v>20000</v>
      </c>
      <c r="I118" s="4">
        <f>tblSavedAppendSpeed[[#This Row],[Words Count]]*tblSavedAppendSpeed[[#This Row],[Word Length]]</f>
        <v>10000000</v>
      </c>
      <c r="J118" s="16">
        <v>2.78</v>
      </c>
      <c r="K118" s="6">
        <v>7.0000000000000007E-2</v>
      </c>
      <c r="L1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39.714285714285708</v>
      </c>
    </row>
    <row r="119" spans="1:12" x14ac:dyDescent="0.25">
      <c r="A119">
        <v>3</v>
      </c>
      <c r="B119" t="s">
        <v>22</v>
      </c>
      <c r="C119" t="s">
        <v>16</v>
      </c>
      <c r="D119" t="s">
        <v>16</v>
      </c>
      <c r="E119" t="s">
        <v>20</v>
      </c>
      <c r="F119" t="s">
        <v>23</v>
      </c>
      <c r="G119" s="15">
        <v>1000</v>
      </c>
      <c r="H119" s="4">
        <v>10000</v>
      </c>
      <c r="I119" s="4">
        <f>tblSavedAppendSpeed[[#This Row],[Words Count]]*tblSavedAppendSpeed[[#This Row],[Word Length]]</f>
        <v>10000000</v>
      </c>
      <c r="J119" s="16">
        <v>5.5</v>
      </c>
      <c r="K119" s="6">
        <v>0.08</v>
      </c>
      <c r="L1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68.75</v>
      </c>
    </row>
    <row r="120" spans="1:12" x14ac:dyDescent="0.25">
      <c r="A120">
        <v>3</v>
      </c>
      <c r="B120" t="s">
        <v>22</v>
      </c>
      <c r="C120" t="s">
        <v>16</v>
      </c>
      <c r="D120" t="s">
        <v>16</v>
      </c>
      <c r="E120" t="s">
        <v>20</v>
      </c>
      <c r="F120" t="s">
        <v>23</v>
      </c>
      <c r="G120" s="15">
        <v>10000</v>
      </c>
      <c r="H120" s="4">
        <v>1000</v>
      </c>
      <c r="I120" s="4">
        <f>tblSavedAppendSpeed[[#This Row],[Words Count]]*tblSavedAppendSpeed[[#This Row],[Word Length]]</f>
        <v>10000000</v>
      </c>
      <c r="J120" s="16">
        <v>56.33</v>
      </c>
      <c r="K120" s="6">
        <v>0.14000000000000001</v>
      </c>
      <c r="L1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402.35714285714283</v>
      </c>
    </row>
    <row r="121" spans="1:12" x14ac:dyDescent="0.25">
      <c r="A121">
        <v>3</v>
      </c>
      <c r="B121" t="s">
        <v>22</v>
      </c>
      <c r="C121" t="s">
        <v>16</v>
      </c>
      <c r="D121" t="s">
        <v>16</v>
      </c>
      <c r="E121" t="s">
        <v>20</v>
      </c>
      <c r="F121" t="s">
        <v>23</v>
      </c>
      <c r="G121" s="15">
        <v>50000</v>
      </c>
      <c r="H121" s="4">
        <v>200</v>
      </c>
      <c r="I121" s="4">
        <f>tblSavedAppendSpeed[[#This Row],[Words Count]]*tblSavedAppendSpeed[[#This Row],[Word Length]]</f>
        <v>10000000</v>
      </c>
      <c r="J121" s="16">
        <v>126.17</v>
      </c>
      <c r="K121" s="6">
        <v>0.22</v>
      </c>
      <c r="L1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573.5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10</v>
      </c>
      <c r="H122" s="4">
        <v>1000</v>
      </c>
      <c r="I122" s="4">
        <f>tblSavedAppendSpeed[[#This Row],[Words Count]]*tblSavedAppendSpeed[[#This Row],[Word Length]]</f>
        <v>10000</v>
      </c>
      <c r="J122" s="16">
        <v>0</v>
      </c>
      <c r="K122" s="6">
        <v>0</v>
      </c>
      <c r="L1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100</v>
      </c>
      <c r="H123" s="4">
        <v>100</v>
      </c>
      <c r="I123" s="4">
        <f>tblSavedAppendSpeed[[#This Row],[Words Count]]*tblSavedAppendSpeed[[#This Row],[Word Length]]</f>
        <v>10000</v>
      </c>
      <c r="J123" s="16">
        <v>0</v>
      </c>
      <c r="K123" s="6">
        <v>0</v>
      </c>
      <c r="L1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1000</v>
      </c>
      <c r="H124" s="4">
        <v>10</v>
      </c>
      <c r="I124" s="4">
        <f>tblSavedAppendSpeed[[#This Row],[Words Count]]*tblSavedAppendSpeed[[#This Row],[Word Length]]</f>
        <v>10000</v>
      </c>
      <c r="J124" s="16">
        <v>0</v>
      </c>
      <c r="K124" s="6">
        <v>0</v>
      </c>
      <c r="L1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2000</v>
      </c>
      <c r="H125" s="4">
        <v>5</v>
      </c>
      <c r="I125" s="4">
        <f>tblSavedAppendSpeed[[#This Row],[Words Count]]*tblSavedAppendSpeed[[#This Row],[Word Length]]</f>
        <v>10000</v>
      </c>
      <c r="J125" s="16">
        <v>0</v>
      </c>
      <c r="K125" s="6">
        <v>0</v>
      </c>
      <c r="L1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10000</v>
      </c>
      <c r="H126" s="4">
        <v>1</v>
      </c>
      <c r="I126" s="4">
        <f>tblSavedAppendSpeed[[#This Row],[Words Count]]*tblSavedAppendSpeed[[#This Row],[Word Length]]</f>
        <v>10000</v>
      </c>
      <c r="J126" s="16">
        <v>4.0000000000000001E-3</v>
      </c>
      <c r="K126" s="6">
        <v>0</v>
      </c>
      <c r="L1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200</v>
      </c>
      <c r="H127" s="4">
        <v>100</v>
      </c>
      <c r="I127" s="4">
        <f>tblSavedAppendSpeed[[#This Row],[Words Count]]*tblSavedAppendSpeed[[#This Row],[Word Length]]</f>
        <v>20000</v>
      </c>
      <c r="J127" s="16">
        <v>0</v>
      </c>
      <c r="K127" s="6">
        <v>0</v>
      </c>
      <c r="L1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20000</v>
      </c>
      <c r="H128" s="4">
        <v>1</v>
      </c>
      <c r="I128" s="4">
        <f>tblSavedAppendSpeed[[#This Row],[Words Count]]*tblSavedAppendSpeed[[#This Row],[Word Length]]</f>
        <v>20000</v>
      </c>
      <c r="J128" s="16">
        <v>2.3E-2</v>
      </c>
      <c r="K128" s="6">
        <v>4.0000000000000001E-3</v>
      </c>
      <c r="L1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500</v>
      </c>
      <c r="H129" s="4">
        <v>100</v>
      </c>
      <c r="I129" s="4">
        <f>tblSavedAppendSpeed[[#This Row],[Words Count]]*tblSavedAppendSpeed[[#This Row],[Word Length]]</f>
        <v>50000</v>
      </c>
      <c r="J129" s="16">
        <v>4.0000000000000001E-3</v>
      </c>
      <c r="K129" s="6">
        <v>0</v>
      </c>
      <c r="L1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5000</v>
      </c>
      <c r="H130" s="4">
        <v>10</v>
      </c>
      <c r="I130" s="4">
        <f>tblSavedAppendSpeed[[#This Row],[Words Count]]*tblSavedAppendSpeed[[#This Row],[Word Length]]</f>
        <v>50000</v>
      </c>
      <c r="J130" s="16">
        <v>1.6E-2</v>
      </c>
      <c r="K130" s="6">
        <v>4.0000000000000001E-3</v>
      </c>
      <c r="L1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10000</v>
      </c>
      <c r="H131" s="4">
        <v>5</v>
      </c>
      <c r="I131" s="4">
        <f>tblSavedAppendSpeed[[#This Row],[Words Count]]*tblSavedAppendSpeed[[#This Row],[Word Length]]</f>
        <v>50000</v>
      </c>
      <c r="J131" s="16">
        <v>3.5000000000000003E-2</v>
      </c>
      <c r="K131" s="6">
        <v>8.0000000000000002E-3</v>
      </c>
      <c r="L1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4.375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50000</v>
      </c>
      <c r="H132" s="4">
        <v>1</v>
      </c>
      <c r="I132" s="4">
        <f>tblSavedAppendSpeed[[#This Row],[Words Count]]*tblSavedAppendSpeed[[#This Row],[Word Length]]</f>
        <v>50000</v>
      </c>
      <c r="J132" s="16">
        <v>0.14099999999999999</v>
      </c>
      <c r="K132" s="6">
        <v>1.6E-2</v>
      </c>
      <c r="L1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8.8124999999999982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10</v>
      </c>
      <c r="H133" s="4">
        <v>10000</v>
      </c>
      <c r="I133" s="4">
        <f>tblSavedAppendSpeed[[#This Row],[Words Count]]*tblSavedAppendSpeed[[#This Row],[Word Length]]</f>
        <v>100000</v>
      </c>
      <c r="J133" s="16">
        <v>0</v>
      </c>
      <c r="K133" s="6">
        <v>0</v>
      </c>
      <c r="L1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</v>
      </c>
      <c r="H134" s="4">
        <v>1000</v>
      </c>
      <c r="I134" s="4">
        <f>tblSavedAppendSpeed[[#This Row],[Words Count]]*tblSavedAppendSpeed[[#This Row],[Word Length]]</f>
        <v>100000</v>
      </c>
      <c r="J134" s="16">
        <v>0</v>
      </c>
      <c r="K134" s="6">
        <v>0</v>
      </c>
      <c r="L1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1000</v>
      </c>
      <c r="H135" s="4">
        <v>100</v>
      </c>
      <c r="I135" s="4">
        <f>tblSavedAppendSpeed[[#This Row],[Words Count]]*tblSavedAppendSpeed[[#This Row],[Word Length]]</f>
        <v>100000</v>
      </c>
      <c r="J135" s="16">
        <v>8.0000000000000002E-3</v>
      </c>
      <c r="K135" s="6">
        <v>0</v>
      </c>
      <c r="L1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10000</v>
      </c>
      <c r="H136" s="4">
        <v>10</v>
      </c>
      <c r="I136" s="4">
        <f>tblSavedAppendSpeed[[#This Row],[Words Count]]*tblSavedAppendSpeed[[#This Row],[Word Length]]</f>
        <v>100000</v>
      </c>
      <c r="J136" s="16">
        <v>6.6000000000000003E-2</v>
      </c>
      <c r="K136" s="6">
        <v>1.2E-2</v>
      </c>
      <c r="L1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20000</v>
      </c>
      <c r="H137" s="4">
        <v>5</v>
      </c>
      <c r="I137" s="4">
        <f>tblSavedAppendSpeed[[#This Row],[Words Count]]*tblSavedAppendSpeed[[#This Row],[Word Length]]</f>
        <v>100000</v>
      </c>
      <c r="J137" s="16">
        <v>0.152</v>
      </c>
      <c r="K137" s="6">
        <v>8.0000000000000002E-3</v>
      </c>
      <c r="L1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100000</v>
      </c>
      <c r="H138" s="4">
        <v>1</v>
      </c>
      <c r="I138" s="4">
        <f>tblSavedAppendSpeed[[#This Row],[Words Count]]*tblSavedAppendSpeed[[#This Row],[Word Length]]</f>
        <v>100000</v>
      </c>
      <c r="J138" s="16">
        <v>0.71899999999999997</v>
      </c>
      <c r="K138" s="6">
        <v>1.6E-2</v>
      </c>
      <c r="L1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44.9375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200</v>
      </c>
      <c r="H139" s="4">
        <v>1000</v>
      </c>
      <c r="I139" s="4">
        <f>tblSavedAppendSpeed[[#This Row],[Words Count]]*tblSavedAppendSpeed[[#This Row],[Word Length]]</f>
        <v>200000</v>
      </c>
      <c r="J139" s="16">
        <v>8.0000000000000002E-3</v>
      </c>
      <c r="K139" s="6">
        <v>0</v>
      </c>
      <c r="L1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2</v>
      </c>
      <c r="I140" s="4">
        <f>tblSavedAppendSpeed[[#This Row],[Words Count]]*tblSavedAppendSpeed[[#This Row],[Word Length]]</f>
        <v>200000</v>
      </c>
      <c r="J140" s="16">
        <v>1.5940000000000001</v>
      </c>
      <c r="K140" s="6">
        <v>1.6E-2</v>
      </c>
      <c r="L1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99.625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200000</v>
      </c>
      <c r="H141" s="4">
        <v>1</v>
      </c>
      <c r="I141" s="4">
        <f>tblSavedAppendSpeed[[#This Row],[Words Count]]*tblSavedAppendSpeed[[#This Row],[Word Length]]</f>
        <v>200000</v>
      </c>
      <c r="J141" s="16">
        <v>3.3359999999999999</v>
      </c>
      <c r="K141" s="6">
        <v>3.9E-2</v>
      </c>
      <c r="L1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85.538461538461533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50000</v>
      </c>
      <c r="H142" s="4">
        <v>5</v>
      </c>
      <c r="I142" s="4">
        <f>tblSavedAppendSpeed[[#This Row],[Words Count]]*tblSavedAppendSpeed[[#This Row],[Word Length]]</f>
        <v>250000</v>
      </c>
      <c r="J142" s="16">
        <v>0.98799999999999999</v>
      </c>
      <c r="K142" s="6">
        <v>1.2E-2</v>
      </c>
      <c r="L1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82.333333333333329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30000</v>
      </c>
      <c r="H143" s="4">
        <v>10</v>
      </c>
      <c r="I143" s="4">
        <f>tblSavedAppendSpeed[[#This Row],[Words Count]]*tblSavedAppendSpeed[[#This Row],[Word Length]]</f>
        <v>300000</v>
      </c>
      <c r="J143" s="16">
        <v>2.1560000000000001</v>
      </c>
      <c r="K143" s="6">
        <v>4.0000000000000001E-3</v>
      </c>
      <c r="L1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539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500</v>
      </c>
      <c r="H144" s="4">
        <v>1000</v>
      </c>
      <c r="I144" s="4">
        <f>tblSavedAppendSpeed[[#This Row],[Words Count]]*tblSavedAppendSpeed[[#This Row],[Word Length]]</f>
        <v>500000</v>
      </c>
      <c r="J144" s="16">
        <v>0.14099999999999999</v>
      </c>
      <c r="K144" s="6">
        <v>4.0000000000000001E-3</v>
      </c>
      <c r="L1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35.249999999999993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50000</v>
      </c>
      <c r="H145" s="4">
        <v>10</v>
      </c>
      <c r="I145" s="4">
        <f>tblSavedAppendSpeed[[#This Row],[Words Count]]*tblSavedAppendSpeed[[#This Row],[Word Length]]</f>
        <v>500000</v>
      </c>
      <c r="J145" s="16">
        <v>13.414</v>
      </c>
      <c r="K145" s="6">
        <v>0.02</v>
      </c>
      <c r="L1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670.69999999999993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100000</v>
      </c>
      <c r="H146" s="4">
        <v>5</v>
      </c>
      <c r="I146" s="4">
        <f>tblSavedAppendSpeed[[#This Row],[Words Count]]*tblSavedAppendSpeed[[#This Row],[Word Length]]</f>
        <v>500000</v>
      </c>
      <c r="J146" s="16">
        <v>27.097999999999999</v>
      </c>
      <c r="K146" s="6">
        <v>0.02</v>
      </c>
      <c r="L1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1354.8999999999999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100</v>
      </c>
      <c r="H147" s="4">
        <v>10000</v>
      </c>
      <c r="I147" s="4">
        <f>tblSavedAppendSpeed[[#This Row],[Words Count]]*tblSavedAppendSpeed[[#This Row],[Word Length]]</f>
        <v>1000000</v>
      </c>
      <c r="J147" s="16">
        <v>6.6000000000000003E-2</v>
      </c>
      <c r="K147" s="6">
        <v>1.2E-2</v>
      </c>
      <c r="L1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1000</v>
      </c>
      <c r="H148" s="4">
        <v>1000</v>
      </c>
      <c r="I148" s="4">
        <f>tblSavedAppendSpeed[[#This Row],[Words Count]]*tblSavedAppendSpeed[[#This Row],[Word Length]]</f>
        <v>1000000</v>
      </c>
      <c r="J148" s="16">
        <v>0.66400000000000003</v>
      </c>
      <c r="K148" s="6">
        <v>4.0000000000000001E-3</v>
      </c>
      <c r="L1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166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10000</v>
      </c>
      <c r="H149" s="4">
        <v>100</v>
      </c>
      <c r="I149" s="4">
        <f>tblSavedAppendSpeed[[#This Row],[Words Count]]*tblSavedAppendSpeed[[#This Row],[Word Length]]</f>
        <v>1000000</v>
      </c>
      <c r="J149" s="16">
        <v>6.5659999999999998</v>
      </c>
      <c r="K149" s="6">
        <v>0.02</v>
      </c>
      <c r="L1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328.3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100000</v>
      </c>
      <c r="H150" s="4">
        <v>10</v>
      </c>
      <c r="I150" s="4">
        <f>tblSavedAppendSpeed[[#This Row],[Words Count]]*tblSavedAppendSpeed[[#This Row],[Word Length]]</f>
        <v>1000000</v>
      </c>
      <c r="J150" s="16">
        <v>64.858999999999995</v>
      </c>
      <c r="K150" s="6">
        <v>2.7E-2</v>
      </c>
      <c r="L1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2402.1851851851852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1000000</v>
      </c>
      <c r="H151" s="4">
        <v>1</v>
      </c>
      <c r="I151" s="4">
        <f>tblSavedAppendSpeed[[#This Row],[Words Count]]*tblSavedAppendSpeed[[#This Row],[Word Length]]</f>
        <v>1000000</v>
      </c>
      <c r="J151" s="16">
        <v>655.91800000000001</v>
      </c>
      <c r="K151" s="6">
        <v>0.191</v>
      </c>
      <c r="L1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3434.1256544502617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200</v>
      </c>
      <c r="H152" s="4">
        <v>10000</v>
      </c>
      <c r="I152" s="4">
        <f>tblSavedAppendSpeed[[#This Row],[Words Count]]*tblSavedAppendSpeed[[#This Row],[Word Length]]</f>
        <v>2000000</v>
      </c>
      <c r="J152" s="16">
        <v>0.28899999999999998</v>
      </c>
      <c r="K152" s="6">
        <v>3.1E-2</v>
      </c>
      <c r="L1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9.32258064516129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500</v>
      </c>
      <c r="H153" s="4">
        <v>10000</v>
      </c>
      <c r="I153" s="4">
        <f>tblSavedAppendSpeed[[#This Row],[Words Count]]*tblSavedAppendSpeed[[#This Row],[Word Length]]</f>
        <v>5000000</v>
      </c>
      <c r="J153" s="16">
        <v>1.8520000000000001</v>
      </c>
      <c r="K153" s="6">
        <v>5.8999999999999997E-2</v>
      </c>
      <c r="L1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31.389830508474578</v>
      </c>
    </row>
    <row r="154" spans="1:12" x14ac:dyDescent="0.25">
      <c r="A154">
        <v>4</v>
      </c>
      <c r="B154" t="s">
        <v>24</v>
      </c>
      <c r="C154" t="s">
        <v>16</v>
      </c>
      <c r="D154" t="s">
        <v>17</v>
      </c>
      <c r="E154" t="s">
        <v>25</v>
      </c>
      <c r="F154" t="s">
        <v>26</v>
      </c>
      <c r="G154" s="15">
        <v>50000</v>
      </c>
      <c r="H154" s="4">
        <v>100</v>
      </c>
      <c r="I154" s="4">
        <f>tblSavedAppendSpeed[[#This Row],[Words Count]]*tblSavedAppendSpeed[[#This Row],[Word Length]]</f>
        <v>5000000</v>
      </c>
      <c r="J154" s="16">
        <v>177.59399999999999</v>
      </c>
      <c r="K154" s="6">
        <v>7.0000000000000007E-2</v>
      </c>
      <c r="L1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2537.0571428571425</v>
      </c>
    </row>
    <row r="155" spans="1:12" x14ac:dyDescent="0.25">
      <c r="A155">
        <v>4</v>
      </c>
      <c r="B155" t="s">
        <v>24</v>
      </c>
      <c r="C155" t="s">
        <v>16</v>
      </c>
      <c r="D155" t="s">
        <v>17</v>
      </c>
      <c r="E155" t="s">
        <v>25</v>
      </c>
      <c r="F155" t="s">
        <v>26</v>
      </c>
      <c r="G155" s="15">
        <v>10</v>
      </c>
      <c r="H155" s="4">
        <v>1000000</v>
      </c>
      <c r="I155" s="4">
        <f>tblSavedAppendSpeed[[#This Row],[Words Count]]*tblSavedAppendSpeed[[#This Row],[Word Length]]</f>
        <v>10000000</v>
      </c>
      <c r="J155" s="16">
        <v>9.8000000000000004E-2</v>
      </c>
      <c r="K155" s="6">
        <v>0.113</v>
      </c>
      <c r="L1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-1.153061224489796</v>
      </c>
    </row>
    <row r="156" spans="1:12" x14ac:dyDescent="0.25">
      <c r="A156">
        <v>4</v>
      </c>
      <c r="B156" t="s">
        <v>24</v>
      </c>
      <c r="C156" t="s">
        <v>16</v>
      </c>
      <c r="D156" t="s">
        <v>17</v>
      </c>
      <c r="E156" t="s">
        <v>25</v>
      </c>
      <c r="F156" t="s">
        <v>26</v>
      </c>
      <c r="G156" s="15">
        <v>100</v>
      </c>
      <c r="H156" s="4">
        <v>100000</v>
      </c>
      <c r="I156" s="4">
        <f>tblSavedAppendSpeed[[#This Row],[Words Count]]*tblSavedAppendSpeed[[#This Row],[Word Length]]</f>
        <v>10000000</v>
      </c>
      <c r="J156" s="16">
        <v>0.80100000000000005</v>
      </c>
      <c r="K156" s="6">
        <v>0.11700000000000001</v>
      </c>
      <c r="L1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6.8461538461538458</v>
      </c>
    </row>
    <row r="157" spans="1:12" x14ac:dyDescent="0.25">
      <c r="A157">
        <v>4</v>
      </c>
      <c r="B157" t="s">
        <v>24</v>
      </c>
      <c r="C157" t="s">
        <v>16</v>
      </c>
      <c r="D157" t="s">
        <v>17</v>
      </c>
      <c r="E157" t="s">
        <v>25</v>
      </c>
      <c r="F157" t="s">
        <v>26</v>
      </c>
      <c r="G157" s="15">
        <v>200</v>
      </c>
      <c r="H157" s="4">
        <v>50000</v>
      </c>
      <c r="I157" s="4">
        <f>tblSavedAppendSpeed[[#This Row],[Words Count]]*tblSavedAppendSpeed[[#This Row],[Word Length]]</f>
        <v>10000000</v>
      </c>
      <c r="J157" s="16">
        <v>1.5620000000000001</v>
      </c>
      <c r="K157" s="6">
        <v>0.11700000000000001</v>
      </c>
      <c r="L1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13.350427350427351</v>
      </c>
    </row>
    <row r="158" spans="1:12" x14ac:dyDescent="0.25">
      <c r="A158">
        <v>4</v>
      </c>
      <c r="B158" t="s">
        <v>24</v>
      </c>
      <c r="C158" t="s">
        <v>16</v>
      </c>
      <c r="D158" t="s">
        <v>17</v>
      </c>
      <c r="E158" t="s">
        <v>25</v>
      </c>
      <c r="F158" t="s">
        <v>26</v>
      </c>
      <c r="G158" s="15">
        <v>500</v>
      </c>
      <c r="H158" s="4">
        <v>20000</v>
      </c>
      <c r="I158" s="4">
        <f>tblSavedAppendSpeed[[#This Row],[Words Count]]*tblSavedAppendSpeed[[#This Row],[Word Length]]</f>
        <v>10000000</v>
      </c>
      <c r="J158" s="16">
        <v>3.8130000000000002</v>
      </c>
      <c r="K158" s="6">
        <v>9.8000000000000004E-2</v>
      </c>
      <c r="L1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38.908163265306122</v>
      </c>
    </row>
    <row r="159" spans="1:12" x14ac:dyDescent="0.25">
      <c r="A159">
        <v>4</v>
      </c>
      <c r="B159" t="s">
        <v>24</v>
      </c>
      <c r="C159" t="s">
        <v>16</v>
      </c>
      <c r="D159" t="s">
        <v>17</v>
      </c>
      <c r="E159" t="s">
        <v>25</v>
      </c>
      <c r="F159" t="s">
        <v>26</v>
      </c>
      <c r="G159" s="15">
        <v>1000</v>
      </c>
      <c r="H159" s="4">
        <v>10000</v>
      </c>
      <c r="I159" s="4">
        <f>tblSavedAppendSpeed[[#This Row],[Words Count]]*tblSavedAppendSpeed[[#This Row],[Word Length]]</f>
        <v>10000000</v>
      </c>
      <c r="J159" s="16">
        <v>7.6950000000000003</v>
      </c>
      <c r="K159" s="6">
        <v>0.11700000000000001</v>
      </c>
      <c r="L1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65.769230769230774</v>
      </c>
    </row>
    <row r="160" spans="1:12" x14ac:dyDescent="0.25">
      <c r="A160">
        <v>4</v>
      </c>
      <c r="B160" t="s">
        <v>24</v>
      </c>
      <c r="C160" t="s">
        <v>16</v>
      </c>
      <c r="D160" t="s">
        <v>17</v>
      </c>
      <c r="E160" t="s">
        <v>25</v>
      </c>
      <c r="F160" t="s">
        <v>26</v>
      </c>
      <c r="G160" s="15">
        <v>10000</v>
      </c>
      <c r="H160" s="4">
        <v>1000</v>
      </c>
      <c r="I160" s="4">
        <f>tblSavedAppendSpeed[[#This Row],[Words Count]]*tblSavedAppendSpeed[[#This Row],[Word Length]]</f>
        <v>10000000</v>
      </c>
      <c r="J160" s="16">
        <v>78.363</v>
      </c>
      <c r="K160" s="6">
        <v>0.156</v>
      </c>
      <c r="L1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502.32692307692309</v>
      </c>
    </row>
    <row r="161" spans="1:12" x14ac:dyDescent="0.25">
      <c r="A161">
        <v>4</v>
      </c>
      <c r="B161" t="s">
        <v>24</v>
      </c>
      <c r="C161" t="s">
        <v>16</v>
      </c>
      <c r="D161" t="s">
        <v>17</v>
      </c>
      <c r="E161" t="s">
        <v>25</v>
      </c>
      <c r="F161" t="s">
        <v>26</v>
      </c>
      <c r="G161" s="15">
        <v>50000</v>
      </c>
      <c r="H161" s="4">
        <v>200</v>
      </c>
      <c r="I161" s="4">
        <f>tblSavedAppendSpeed[[#This Row],[Words Count]]*tblSavedAppendSpeed[[#This Row],[Word Length]]</f>
        <v>10000000</v>
      </c>
      <c r="J161" s="16">
        <v>392.09399999999999</v>
      </c>
      <c r="K161" s="6">
        <v>0.14099999999999999</v>
      </c>
      <c r="L1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2780.8085106382982</v>
      </c>
    </row>
  </sheetData>
  <conditionalFormatting sqref="L2:L161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{822295FD-C0FF-49EB-8043-7ACDB61AFF6B}</x14:id>
        </ext>
      </extLst>
    </cfRule>
  </conditionalFormatting>
  <conditionalFormatting sqref="J2:K161">
    <cfRule type="dataBar" priority="3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{18AE7A46-F61E-4E9C-BCF1-DBAC3542A526}</x14:id>
        </ext>
      </extLst>
    </cfRule>
  </conditionalFormatting>
  <conditionalFormatting sqref="I2:I161">
    <cfRule type="cellIs" dxfId="32" priority="2" operator="greaterThan">
      <formula>2147483647</formula>
    </cfRule>
  </conditionalFormatting>
  <conditionalFormatting sqref="A2:A161">
    <cfRule type="colorScale" priority="1">
      <colorScale>
        <cfvo type="min"/>
        <cfvo type="max"/>
        <color rgb="FFFFEF9C"/>
        <color rgb="FF63BE7B"/>
      </colorScale>
    </cfRule>
  </conditionalFormatting>
  <dataValidations count="1">
    <dataValidation type="whole" allowBlank="1" showInputMessage="1" showErrorMessage="1" sqref="G2:H161" xr:uid="{BB4C611D-9B04-4A92-9A03-5E33419EA8C9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2295FD-C0FF-49EB-8043-7ACDB61AFF6B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L2:L161</xm:sqref>
        </x14:conditionalFormatting>
        <x14:conditionalFormatting xmlns:xm="http://schemas.microsoft.com/office/excel/2006/main">
          <x14:cfRule type="dataBar" id="{18AE7A46-F61E-4E9C-BCF1-DBAC3542A5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3385-8D44-4A6F-BF55-650841AFE97E}">
  <sheetPr codeName="Sheet4">
    <tabColor theme="9"/>
  </sheetPr>
  <dimension ref="A1:L44"/>
  <sheetViews>
    <sheetView workbookViewId="0">
      <pane ySplit="3" topLeftCell="A19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"&amp;ADDRESS(ROW(INDEX(tblTestSpeedInsert[Select a Cell to Evaluate corresponding row],1)),COLUMN(INDEX(tblTestSpeedInsert[Select a Cell to Evaluate corresponding row],1)))&amp;":"&amp;ADDRESS(ROW(INDEX(tblTestSpeedInsert[Select a Cell to Evaluate corresponding row],COUNTA(tblTestSpeedInsert[Select a Cell to Evaluate corresponding row])+COUNTBLANK(tblTestSpeedInsert[Select a Cell to Evaluate corresponding row]))),COLUMN(INDEX(tblTestSpeedInsert[Select a Cell to Evaluate corresponding row],1)))&amp;" in order to trigger the Worksheet_SelectionChange Event which will run the 2 timing procedures!"</f>
        <v>Just select any cell in range $D$4:$D$41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27</v>
      </c>
      <c r="F3" s="2" t="s">
        <v>28</v>
      </c>
      <c r="G3" s="2" t="s">
        <v>29</v>
      </c>
    </row>
    <row r="4" spans="1:7" x14ac:dyDescent="0.25">
      <c r="A4" s="4">
        <v>10</v>
      </c>
      <c r="B4" s="4">
        <v>1000</v>
      </c>
      <c r="C4" s="4">
        <f>tblTestSpeedInsert[[#This Row],[Words Count]]*tblTestSpeedInsert[[#This Row],[Word Length]]</f>
        <v>10000</v>
      </c>
      <c r="D4" s="5" t="str">
        <f t="shared" ref="D4:D41" si="0">HYPERLINK("","Select Here")</f>
        <v>Select Here</v>
      </c>
      <c r="E4" s="6"/>
      <c r="F4" s="6"/>
      <c r="G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5" spans="1:7" x14ac:dyDescent="0.25">
      <c r="A5" s="4">
        <v>100</v>
      </c>
      <c r="B5" s="4">
        <v>100</v>
      </c>
      <c r="C5" s="4">
        <f>tblTestSpeedInsert[[#This Row],[Words Count]]*tblTestSpeedInsert[[#This Row],[Word Length]]</f>
        <v>10000</v>
      </c>
      <c r="D5" s="5" t="str">
        <f t="shared" si="0"/>
        <v>Select Here</v>
      </c>
      <c r="E5" s="6"/>
      <c r="F5" s="6"/>
      <c r="G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6" spans="1:7" x14ac:dyDescent="0.25">
      <c r="A6" s="4">
        <v>1000</v>
      </c>
      <c r="B6" s="4">
        <v>10</v>
      </c>
      <c r="C6" s="4">
        <f>tblTestSpeedInsert[[#This Row],[Words Count]]*tblTestSpeedInsert[[#This Row],[Word Length]]</f>
        <v>10000</v>
      </c>
      <c r="D6" s="5" t="str">
        <f t="shared" si="0"/>
        <v>Select Here</v>
      </c>
      <c r="E6" s="6"/>
      <c r="F6" s="6"/>
      <c r="G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7" spans="1:7" x14ac:dyDescent="0.25">
      <c r="A7" s="4">
        <v>2000</v>
      </c>
      <c r="B7" s="4">
        <v>5</v>
      </c>
      <c r="C7" s="4">
        <f>tblTestSpeedInsert[[#This Row],[Words Count]]*tblTestSpeedInsert[[#This Row],[Word Length]]</f>
        <v>10000</v>
      </c>
      <c r="D7" s="5" t="str">
        <f t="shared" si="0"/>
        <v>Select Here</v>
      </c>
      <c r="E7" s="6"/>
      <c r="F7" s="6"/>
      <c r="G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8" spans="1:7" x14ac:dyDescent="0.25">
      <c r="A8" s="4">
        <v>10000</v>
      </c>
      <c r="B8" s="4">
        <v>1</v>
      </c>
      <c r="C8" s="4">
        <f>tblTestSpeedInsert[[#This Row],[Words Count]]*tblTestSpeedInsert[[#This Row],[Word Length]]</f>
        <v>10000</v>
      </c>
      <c r="D8" s="5" t="str">
        <f t="shared" si="0"/>
        <v>Select Here</v>
      </c>
      <c r="E8" s="6"/>
      <c r="F8" s="6"/>
      <c r="G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9" spans="1:7" x14ac:dyDescent="0.25">
      <c r="A9" s="4">
        <v>200</v>
      </c>
      <c r="B9" s="4">
        <v>100</v>
      </c>
      <c r="C9" s="4">
        <f>tblTestSpeedInsert[[#This Row],[Words Count]]*tblTestSpeedInsert[[#This Row],[Word Length]]</f>
        <v>20000</v>
      </c>
      <c r="D9" s="5" t="str">
        <f t="shared" si="0"/>
        <v>Select Here</v>
      </c>
      <c r="E9" s="6"/>
      <c r="F9" s="6"/>
      <c r="G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0" spans="1:7" x14ac:dyDescent="0.25">
      <c r="A10" s="4">
        <v>20000</v>
      </c>
      <c r="B10" s="4">
        <v>1</v>
      </c>
      <c r="C10" s="4">
        <f>tblTestSpeedInsert[[#This Row],[Words Count]]*tblTestSpeedInsert[[#This Row],[Word Length]]</f>
        <v>20000</v>
      </c>
      <c r="D10" s="8" t="str">
        <f t="shared" si="0"/>
        <v>Select Here</v>
      </c>
      <c r="E10" s="6"/>
      <c r="F10" s="6"/>
      <c r="G1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1" spans="1:7" x14ac:dyDescent="0.25">
      <c r="A11" s="4">
        <v>500</v>
      </c>
      <c r="B11" s="4">
        <v>100</v>
      </c>
      <c r="C11" s="4">
        <f>tblTestSpeedInsert[[#This Row],[Words Count]]*tblTestSpeedInsert[[#This Row],[Word Length]]</f>
        <v>50000</v>
      </c>
      <c r="D11" s="5" t="str">
        <f t="shared" si="0"/>
        <v>Select Here</v>
      </c>
      <c r="E11" s="6"/>
      <c r="F11" s="6"/>
      <c r="G1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2" spans="1:7" x14ac:dyDescent="0.25">
      <c r="A12" s="4">
        <v>5000</v>
      </c>
      <c r="B12" s="4">
        <v>10</v>
      </c>
      <c r="C12" s="4">
        <f>tblTestSpeedInsert[[#This Row],[Words Count]]*tblTestSpeedInsert[[#This Row],[Word Length]]</f>
        <v>50000</v>
      </c>
      <c r="D12" s="5" t="str">
        <f t="shared" si="0"/>
        <v>Select Here</v>
      </c>
      <c r="E12" s="6"/>
      <c r="F12" s="6"/>
      <c r="G1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3" spans="1:7" x14ac:dyDescent="0.25">
      <c r="A13" s="4">
        <v>10000</v>
      </c>
      <c r="B13" s="4">
        <v>5</v>
      </c>
      <c r="C13" s="4">
        <f>tblTestSpeedInsert[[#This Row],[Words Count]]*tblTestSpeedInsert[[#This Row],[Word Length]]</f>
        <v>50000</v>
      </c>
      <c r="D13" s="5" t="str">
        <f t="shared" si="0"/>
        <v>Select Here</v>
      </c>
      <c r="E13" s="6"/>
      <c r="F13" s="6"/>
      <c r="G1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4" spans="1:7" x14ac:dyDescent="0.25">
      <c r="A14" s="4">
        <v>50000</v>
      </c>
      <c r="B14" s="4">
        <v>1</v>
      </c>
      <c r="C14" s="4">
        <f>tblTestSpeedInsert[[#This Row],[Words Count]]*tblTestSpeedInsert[[#This Row],[Word Length]]</f>
        <v>50000</v>
      </c>
      <c r="D14" s="8" t="str">
        <f t="shared" si="0"/>
        <v>Select Here</v>
      </c>
      <c r="E14" s="6"/>
      <c r="F14" s="6"/>
      <c r="G1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5" spans="1:7" x14ac:dyDescent="0.25">
      <c r="A15" s="4">
        <v>10</v>
      </c>
      <c r="B15" s="4">
        <v>10000</v>
      </c>
      <c r="C15" s="4">
        <f>tblTestSpeedInsert[[#This Row],[Words Count]]*tblTestSpeedInsert[[#This Row],[Word Length]]</f>
        <v>100000</v>
      </c>
      <c r="D15" s="5" t="str">
        <f t="shared" si="0"/>
        <v>Select Here</v>
      </c>
      <c r="E15" s="6"/>
      <c r="F15" s="6"/>
      <c r="G1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6" spans="1:7" x14ac:dyDescent="0.25">
      <c r="A16" s="4">
        <v>100</v>
      </c>
      <c r="B16" s="4">
        <v>1000</v>
      </c>
      <c r="C16" s="4">
        <f>tblTestSpeedInsert[[#This Row],[Words Count]]*tblTestSpeedInsert[[#This Row],[Word Length]]</f>
        <v>100000</v>
      </c>
      <c r="D16" s="5" t="str">
        <f t="shared" si="0"/>
        <v>Select Here</v>
      </c>
      <c r="E16" s="6"/>
      <c r="F16" s="6"/>
      <c r="G1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7" spans="1:7" x14ac:dyDescent="0.25">
      <c r="A17" s="4">
        <v>1000</v>
      </c>
      <c r="B17" s="4">
        <v>100</v>
      </c>
      <c r="C17" s="4">
        <f>tblTestSpeedInsert[[#This Row],[Words Count]]*tblTestSpeedInsert[[#This Row],[Word Length]]</f>
        <v>100000</v>
      </c>
      <c r="D17" s="5" t="str">
        <f t="shared" si="0"/>
        <v>Select Here</v>
      </c>
      <c r="E17" s="6"/>
      <c r="F17" s="6"/>
      <c r="G1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8" spans="1:7" x14ac:dyDescent="0.25">
      <c r="A18" s="4">
        <v>10000</v>
      </c>
      <c r="B18" s="4">
        <v>10</v>
      </c>
      <c r="C18" s="4">
        <f>tblTestSpeedInsert[[#This Row],[Words Count]]*tblTestSpeedInsert[[#This Row],[Word Length]]</f>
        <v>100000</v>
      </c>
      <c r="D18" s="5" t="str">
        <f t="shared" si="0"/>
        <v>Select Here</v>
      </c>
      <c r="E18" s="6"/>
      <c r="F18" s="6"/>
      <c r="G1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9" spans="1:7" x14ac:dyDescent="0.25">
      <c r="A19" s="4">
        <v>20000</v>
      </c>
      <c r="B19" s="4">
        <v>5</v>
      </c>
      <c r="C19" s="4">
        <f>tblTestSpeedInsert[[#This Row],[Words Count]]*tblTestSpeedInsert[[#This Row],[Word Length]]</f>
        <v>100000</v>
      </c>
      <c r="D19" s="5" t="str">
        <f t="shared" si="0"/>
        <v>Select Here</v>
      </c>
      <c r="E19" s="6"/>
      <c r="F19" s="6"/>
      <c r="G1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0" spans="1:7" x14ac:dyDescent="0.25">
      <c r="A20" s="4">
        <v>100000</v>
      </c>
      <c r="B20" s="4">
        <v>1</v>
      </c>
      <c r="C20" s="4">
        <f>tblTestSpeedInsert[[#This Row],[Words Count]]*tblTestSpeedInsert[[#This Row],[Word Length]]</f>
        <v>100000</v>
      </c>
      <c r="D20" s="5" t="str">
        <f t="shared" si="0"/>
        <v>Select Here</v>
      </c>
      <c r="E20" s="6"/>
      <c r="F20" s="6"/>
      <c r="G2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1" spans="1:7" x14ac:dyDescent="0.25">
      <c r="A21" s="4">
        <v>200</v>
      </c>
      <c r="B21" s="4">
        <v>1000</v>
      </c>
      <c r="C21" s="4">
        <f>tblTestSpeedInsert[[#This Row],[Words Count]]*tblTestSpeedInsert[[#This Row],[Word Length]]</f>
        <v>200000</v>
      </c>
      <c r="D21" s="5" t="str">
        <f t="shared" si="0"/>
        <v>Select Here</v>
      </c>
      <c r="E21" s="6"/>
      <c r="F21" s="6"/>
      <c r="G2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2" spans="1:7" x14ac:dyDescent="0.25">
      <c r="A22" s="4">
        <v>100000</v>
      </c>
      <c r="B22" s="4">
        <v>2</v>
      </c>
      <c r="C22" s="4">
        <f>tblTestSpeedInsert[[#This Row],[Words Count]]*tblTestSpeedInsert[[#This Row],[Word Length]]</f>
        <v>200000</v>
      </c>
      <c r="D22" s="5" t="str">
        <f t="shared" si="0"/>
        <v>Select Here</v>
      </c>
      <c r="E22" s="6"/>
      <c r="F22" s="6"/>
      <c r="G2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3" spans="1:7" x14ac:dyDescent="0.25">
      <c r="A23" s="4">
        <v>200000</v>
      </c>
      <c r="B23" s="4">
        <v>1</v>
      </c>
      <c r="C23" s="4">
        <f>tblTestSpeedInsert[[#This Row],[Words Count]]*tblTestSpeedInsert[[#This Row],[Word Length]]</f>
        <v>200000</v>
      </c>
      <c r="D23" s="5" t="str">
        <f t="shared" si="0"/>
        <v>Select Here</v>
      </c>
      <c r="E23" s="6"/>
      <c r="F23" s="6"/>
      <c r="G2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4" spans="1:7" x14ac:dyDescent="0.25">
      <c r="A24" s="4">
        <v>50000</v>
      </c>
      <c r="B24" s="4">
        <v>5</v>
      </c>
      <c r="C24" s="4">
        <f>tblTestSpeedInsert[[#This Row],[Words Count]]*tblTestSpeedInsert[[#This Row],[Word Length]]</f>
        <v>250000</v>
      </c>
      <c r="D24" s="5" t="str">
        <f t="shared" si="0"/>
        <v>Select Here</v>
      </c>
      <c r="E24" s="6"/>
      <c r="F24" s="6"/>
      <c r="G2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5" spans="1:7" x14ac:dyDescent="0.25">
      <c r="A25" s="4">
        <v>30000</v>
      </c>
      <c r="B25" s="4">
        <v>10</v>
      </c>
      <c r="C25" s="4">
        <f>tblTestSpeedInsert[[#This Row],[Words Count]]*tblTestSpeedInsert[[#This Row],[Word Length]]</f>
        <v>300000</v>
      </c>
      <c r="D25" s="5" t="str">
        <f t="shared" si="0"/>
        <v>Select Here</v>
      </c>
      <c r="E25" s="6"/>
      <c r="F25" s="6"/>
      <c r="G2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6" spans="1:7" x14ac:dyDescent="0.25">
      <c r="A26" s="4">
        <v>500</v>
      </c>
      <c r="B26" s="4">
        <v>1000</v>
      </c>
      <c r="C26" s="4">
        <f>tblTestSpeedInsert[[#This Row],[Words Count]]*tblTestSpeedInsert[[#This Row],[Word Length]]</f>
        <v>500000</v>
      </c>
      <c r="D26" s="5" t="str">
        <f t="shared" si="0"/>
        <v>Select Here</v>
      </c>
      <c r="E26" s="6"/>
      <c r="F26" s="6"/>
      <c r="G2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7" spans="1:7" x14ac:dyDescent="0.25">
      <c r="A27" s="4">
        <v>50000</v>
      </c>
      <c r="B27" s="4">
        <v>10</v>
      </c>
      <c r="C27" s="4">
        <f>tblTestSpeedInsert[[#This Row],[Words Count]]*tblTestSpeedInsert[[#This Row],[Word Length]]</f>
        <v>500000</v>
      </c>
      <c r="D27" s="5" t="str">
        <f t="shared" si="0"/>
        <v>Select Here</v>
      </c>
      <c r="E27" s="6"/>
      <c r="F27" s="6"/>
      <c r="G2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8" spans="1:7" x14ac:dyDescent="0.25">
      <c r="A28" s="4">
        <v>100000</v>
      </c>
      <c r="B28" s="4">
        <v>5</v>
      </c>
      <c r="C28" s="4">
        <f>tblTestSpeedInsert[[#This Row],[Words Count]]*tblTestSpeedInsert[[#This Row],[Word Length]]</f>
        <v>500000</v>
      </c>
      <c r="D28" s="5" t="str">
        <f t="shared" si="0"/>
        <v>Select Here</v>
      </c>
      <c r="E28" s="6"/>
      <c r="F28" s="6"/>
      <c r="G2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9" spans="1:7" x14ac:dyDescent="0.25">
      <c r="A29" s="4">
        <v>100</v>
      </c>
      <c r="B29" s="4">
        <v>10000</v>
      </c>
      <c r="C29" s="4">
        <f>tblTestSpeedInsert[[#This Row],[Words Count]]*tblTestSpeedInsert[[#This Row],[Word Length]]</f>
        <v>1000000</v>
      </c>
      <c r="D29" s="5" t="str">
        <f t="shared" si="0"/>
        <v>Select Here</v>
      </c>
      <c r="E29" s="6"/>
      <c r="F29" s="6"/>
      <c r="G2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0" spans="1:7" x14ac:dyDescent="0.25">
      <c r="A30" s="4">
        <v>1000</v>
      </c>
      <c r="B30" s="4">
        <v>1000</v>
      </c>
      <c r="C30" s="4">
        <f>tblTestSpeedInsert[[#This Row],[Words Count]]*tblTestSpeedInsert[[#This Row],[Word Length]]</f>
        <v>1000000</v>
      </c>
      <c r="D30" s="5" t="str">
        <f t="shared" si="0"/>
        <v>Select Here</v>
      </c>
      <c r="E30" s="6"/>
      <c r="F30" s="6"/>
      <c r="G3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1" spans="1:7" x14ac:dyDescent="0.25">
      <c r="A31" s="4">
        <v>10000</v>
      </c>
      <c r="B31" s="4">
        <v>100</v>
      </c>
      <c r="C31" s="4">
        <f>tblTestSpeedInsert[[#This Row],[Words Count]]*tblTestSpeedInsert[[#This Row],[Word Length]]</f>
        <v>1000000</v>
      </c>
      <c r="D31" s="5" t="str">
        <f t="shared" si="0"/>
        <v>Select Here</v>
      </c>
      <c r="E31" s="6"/>
      <c r="F31" s="6"/>
      <c r="G3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2" spans="1:7" x14ac:dyDescent="0.25">
      <c r="A32" s="4">
        <v>100000</v>
      </c>
      <c r="B32" s="4">
        <v>10</v>
      </c>
      <c r="C32" s="4">
        <f>tblTestSpeedInsert[[#This Row],[Words Count]]*tblTestSpeedInsert[[#This Row],[Word Length]]</f>
        <v>1000000</v>
      </c>
      <c r="D32" s="5" t="str">
        <f t="shared" si="0"/>
        <v>Select Here</v>
      </c>
      <c r="E32" s="6"/>
      <c r="F32" s="6"/>
      <c r="G3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3" spans="1:12" x14ac:dyDescent="0.25">
      <c r="A33" s="4">
        <v>200</v>
      </c>
      <c r="B33" s="4">
        <v>10000</v>
      </c>
      <c r="C33" s="4">
        <f>tblTestSpeedInsert[[#This Row],[Words Count]]*tblTestSpeedInsert[[#This Row],[Word Length]]</f>
        <v>2000000</v>
      </c>
      <c r="D33" s="5" t="str">
        <f t="shared" si="0"/>
        <v>Select Here</v>
      </c>
      <c r="E33" s="6"/>
      <c r="F33" s="6"/>
      <c r="G3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4" spans="1:12" x14ac:dyDescent="0.25">
      <c r="A34" s="4">
        <v>500</v>
      </c>
      <c r="B34" s="4">
        <v>10000</v>
      </c>
      <c r="C34" s="4">
        <f>tblTestSpeedInsert[[#This Row],[Words Count]]*tblTestSpeedInsert[[#This Row],[Word Length]]</f>
        <v>5000000</v>
      </c>
      <c r="D34" s="5" t="str">
        <f t="shared" si="0"/>
        <v>Select Here</v>
      </c>
      <c r="E34" s="6"/>
      <c r="F34" s="6"/>
      <c r="G3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5" spans="1:12" x14ac:dyDescent="0.25">
      <c r="A35" s="4">
        <v>50000</v>
      </c>
      <c r="B35" s="4">
        <v>100</v>
      </c>
      <c r="C35" s="4">
        <f>tblTestSpeedInsert[[#This Row],[Words Count]]*tblTestSpeedInsert[[#This Row],[Word Length]]</f>
        <v>5000000</v>
      </c>
      <c r="D35" s="5" t="str">
        <f t="shared" si="0"/>
        <v>Select Here</v>
      </c>
      <c r="E35" s="6"/>
      <c r="F35" s="6"/>
      <c r="G3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6" spans="1:12" x14ac:dyDescent="0.25">
      <c r="A36" s="4">
        <v>10</v>
      </c>
      <c r="B36" s="4">
        <v>1000000</v>
      </c>
      <c r="C36" s="4">
        <f>tblTestSpeedInsert[[#This Row],[Words Count]]*tblTestSpeedInsert[[#This Row],[Word Length]]</f>
        <v>10000000</v>
      </c>
      <c r="D36" s="5" t="str">
        <f t="shared" si="0"/>
        <v>Select Here</v>
      </c>
      <c r="E36" s="6"/>
      <c r="F36" s="6"/>
      <c r="G3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7" spans="1:12" x14ac:dyDescent="0.25">
      <c r="A37" s="4">
        <v>100</v>
      </c>
      <c r="B37" s="4">
        <v>100000</v>
      </c>
      <c r="C37" s="4">
        <f>tblTestSpeedInsert[[#This Row],[Words Count]]*tblTestSpeedInsert[[#This Row],[Word Length]]</f>
        <v>10000000</v>
      </c>
      <c r="D37" s="5" t="str">
        <f t="shared" si="0"/>
        <v>Select Here</v>
      </c>
      <c r="E37" s="6"/>
      <c r="F37" s="6"/>
      <c r="G3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8" spans="1:12" x14ac:dyDescent="0.25">
      <c r="A38" s="4">
        <v>200</v>
      </c>
      <c r="B38" s="4">
        <v>50000</v>
      </c>
      <c r="C38" s="4">
        <f>tblTestSpeedInsert[[#This Row],[Words Count]]*tblTestSpeedInsert[[#This Row],[Word Length]]</f>
        <v>10000000</v>
      </c>
      <c r="D38" s="5" t="str">
        <f t="shared" si="0"/>
        <v>Select Here</v>
      </c>
      <c r="E38" s="6"/>
      <c r="F38" s="6"/>
      <c r="G3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9" spans="1:12" x14ac:dyDescent="0.25">
      <c r="A39" s="4">
        <v>500</v>
      </c>
      <c r="B39" s="4">
        <v>20000</v>
      </c>
      <c r="C39" s="4">
        <f>tblTestSpeedInsert[[#This Row],[Words Count]]*tblTestSpeedInsert[[#This Row],[Word Length]]</f>
        <v>10000000</v>
      </c>
      <c r="D39" s="5" t="str">
        <f t="shared" si="0"/>
        <v>Select Here</v>
      </c>
      <c r="E39" s="6"/>
      <c r="F39" s="6"/>
      <c r="G3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0" spans="1:12" x14ac:dyDescent="0.25">
      <c r="A40" s="4">
        <v>1000</v>
      </c>
      <c r="B40" s="4">
        <v>10000</v>
      </c>
      <c r="C40" s="4">
        <f>tblTestSpeedInsert[[#This Row],[Words Count]]*tblTestSpeedInsert[[#This Row],[Word Length]]</f>
        <v>10000000</v>
      </c>
      <c r="D40" s="5" t="str">
        <f t="shared" si="0"/>
        <v>Select Here</v>
      </c>
      <c r="E40" s="6"/>
      <c r="F40" s="6"/>
      <c r="G4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1" spans="1:12" x14ac:dyDescent="0.25">
      <c r="A41" s="4">
        <v>10000</v>
      </c>
      <c r="B41" s="4">
        <v>1000</v>
      </c>
      <c r="C41" s="4">
        <f>tblTestSpeedInsert[[#This Row],[Words Count]]*tblTestSpeedInsert[[#This Row],[Word Length]]</f>
        <v>10000000</v>
      </c>
      <c r="D41" s="5" t="str">
        <f t="shared" si="0"/>
        <v>Select Here</v>
      </c>
      <c r="E41" s="6"/>
      <c r="F41" s="6"/>
      <c r="G4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2" spans="1:12" x14ac:dyDescent="0.25">
      <c r="A42" s="9" t="s">
        <v>8</v>
      </c>
      <c r="B42" s="9"/>
      <c r="C42" s="9"/>
      <c r="D42" s="10"/>
      <c r="E42" s="6">
        <f>SUBTOTAL(109,tblTestSpeedInsert[Time (seconds) to insert without copy memory])</f>
        <v>0</v>
      </c>
      <c r="F42" s="6">
        <f>SUBTOTAL(109,tblTestSpeedInsert[Time (seconds) to insert with copy memory])</f>
        <v>0</v>
      </c>
      <c r="G42" s="11"/>
    </row>
    <row r="44" spans="1:12" x14ac:dyDescent="0.25">
      <c r="E44" s="12"/>
      <c r="F44" s="12"/>
      <c r="L44" s="13"/>
    </row>
  </sheetData>
  <conditionalFormatting sqref="G4:G41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{280CAFC1-2AB9-4C8A-874D-D0E754B6CBCD}</x14:id>
        </ext>
      </extLst>
    </cfRule>
  </conditionalFormatting>
  <conditionalFormatting sqref="E4:F41">
    <cfRule type="dataBar" priority="2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{25262930-C415-4A55-B930-4B1A3D41FEFE}</x14:id>
        </ext>
      </extLst>
    </cfRule>
  </conditionalFormatting>
  <conditionalFormatting sqref="C4:C41">
    <cfRule type="cellIs" dxfId="21" priority="1" operator="greaterThan">
      <formula>2147483647</formula>
    </cfRule>
  </conditionalFormatting>
  <dataValidations count="1">
    <dataValidation type="whole" allowBlank="1" showInputMessage="1" showErrorMessage="1" sqref="A4:B41" xr:uid="{C8831273-1A68-4343-882B-56BA2597F704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0CAFC1-2AB9-4C8A-874D-D0E754B6CBCD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G4:G41</xm:sqref>
        </x14:conditionalFormatting>
        <x14:conditionalFormatting xmlns:xm="http://schemas.microsoft.com/office/excel/2006/main">
          <x14:cfRule type="dataBar" id="{25262930-C415-4A55-B930-4B1A3D41FEFE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43839-BF99-4D6D-9362-0D34CC2A5AF8}">
  <sheetPr codeName="Sheet5"/>
  <dimension ref="A1:L153"/>
  <sheetViews>
    <sheetView workbookViewId="0">
      <pane ySplit="1" topLeftCell="A131" activePane="bottomLeft" state="frozen"/>
      <selection activeCell="E30" sqref="E30:F30"/>
      <selection pane="bottomLeft" activeCell="G160" sqref="G16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customWidth="1"/>
    <col min="13" max="13" width="15.140625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27</v>
      </c>
      <c r="K1" s="2" t="s">
        <v>28</v>
      </c>
      <c r="L1" s="2" t="s">
        <v>29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tblSavedInsertSpeed[[#This Row],[Words Count]]*tblSavedInsertSpeed[[#This Row],[Word Length]]</f>
        <v>10000</v>
      </c>
      <c r="J2" s="16">
        <v>0</v>
      </c>
      <c r="K2" s="6">
        <v>0</v>
      </c>
      <c r="L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tblSavedInsertSpeed[[#This Row],[Words Count]]*tblSavedInsertSpeed[[#This Row],[Word Length]]</f>
        <v>10000</v>
      </c>
      <c r="J3" s="16">
        <v>0</v>
      </c>
      <c r="K3" s="6">
        <v>0</v>
      </c>
      <c r="L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tblSavedInsertSpeed[[#This Row],[Words Count]]*tblSavedInsertSpeed[[#This Row],[Word Length]]</f>
        <v>10000</v>
      </c>
      <c r="J4" s="16">
        <v>4.0000000000000001E-3</v>
      </c>
      <c r="K4" s="6">
        <v>4.0000000000000001E-3</v>
      </c>
      <c r="L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tblSavedInsertSpeed[[#This Row],[Words Count]]*tblSavedInsertSpeed[[#This Row],[Word Length]]</f>
        <v>10000</v>
      </c>
      <c r="J5" s="16">
        <v>1.6E-2</v>
      </c>
      <c r="K5" s="6">
        <v>1.2E-2</v>
      </c>
      <c r="L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tblSavedInsertSpeed[[#This Row],[Words Count]]*tblSavedInsertSpeed[[#This Row],[Word Length]]</f>
        <v>10000</v>
      </c>
      <c r="J6" s="16">
        <v>5.0999999999999997E-2</v>
      </c>
      <c r="K6" s="6">
        <v>5.0999999999999997E-2</v>
      </c>
      <c r="L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tblSavedInsertSpeed[[#This Row],[Words Count]]*tblSavedInsertSpeed[[#This Row],[Word Length]]</f>
        <v>20000</v>
      </c>
      <c r="J7" s="16">
        <v>4.0000000000000001E-3</v>
      </c>
      <c r="K7" s="6">
        <v>4.0000000000000001E-3</v>
      </c>
      <c r="L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tblSavedInsertSpeed[[#This Row],[Words Count]]*tblSavedInsertSpeed[[#This Row],[Word Length]]</f>
        <v>20000</v>
      </c>
      <c r="J8" s="16">
        <v>0.191</v>
      </c>
      <c r="K8" s="6">
        <v>0.188</v>
      </c>
      <c r="L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1.0159574468085106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tblSavedInsertSpeed[[#This Row],[Words Count]]*tblSavedInsertSpeed[[#This Row],[Word Length]]</f>
        <v>50000</v>
      </c>
      <c r="J9" s="16">
        <v>1.6E-2</v>
      </c>
      <c r="K9" s="6">
        <v>1.2E-2</v>
      </c>
      <c r="L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tblSavedInsertSpeed[[#This Row],[Words Count]]*tblSavedInsertSpeed[[#This Row],[Word Length]]</f>
        <v>50000</v>
      </c>
      <c r="J10" s="16">
        <v>0.121</v>
      </c>
      <c r="K10" s="6">
        <v>0.10199999999999999</v>
      </c>
      <c r="L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1.1862745098039216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tblSavedInsertSpeed[[#This Row],[Words Count]]*tblSavedInsertSpeed[[#This Row],[Word Length]]</f>
        <v>50000</v>
      </c>
      <c r="J11" s="16">
        <v>0.23799999999999999</v>
      </c>
      <c r="K11" s="6">
        <v>0.191</v>
      </c>
      <c r="L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1.2460732984293192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tblSavedInsertSpeed[[#This Row],[Words Count]]*tblSavedInsertSpeed[[#This Row],[Word Length]]</f>
        <v>50000</v>
      </c>
      <c r="J12" s="16">
        <v>1.1839999999999999</v>
      </c>
      <c r="K12" s="6">
        <v>0.95699999999999996</v>
      </c>
      <c r="L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1.2371995820271682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tblSavedInsertSpeed[[#This Row],[Words Count]]*tblSavedInsertSpeed[[#This Row],[Word Length]]</f>
        <v>100000</v>
      </c>
      <c r="J13" s="16">
        <v>0</v>
      </c>
      <c r="K13" s="6">
        <v>0</v>
      </c>
      <c r="L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tblSavedInsertSpeed[[#This Row],[Words Count]]*tblSavedInsertSpeed[[#This Row],[Word Length]]</f>
        <v>100000</v>
      </c>
      <c r="J14" s="16">
        <v>4.0000000000000001E-3</v>
      </c>
      <c r="K14" s="6">
        <v>4.0000000000000001E-3</v>
      </c>
      <c r="L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tblSavedInsertSpeed[[#This Row],[Words Count]]*tblSavedInsertSpeed[[#This Row],[Word Length]]</f>
        <v>100000</v>
      </c>
      <c r="J15" s="16">
        <v>4.7E-2</v>
      </c>
      <c r="K15" s="6">
        <v>3.9E-2</v>
      </c>
      <c r="L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1.2051282051282051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tblSavedInsertSpeed[[#This Row],[Words Count]]*tblSavedInsertSpeed[[#This Row],[Word Length]]</f>
        <v>100000</v>
      </c>
      <c r="J16" s="16">
        <v>0.45300000000000001</v>
      </c>
      <c r="K16" s="6">
        <v>0.34799999999999998</v>
      </c>
      <c r="L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1.3017241379310347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tblSavedInsertSpeed[[#This Row],[Words Count]]*tblSavedInsertSpeed[[#This Row],[Word Length]]</f>
        <v>100000</v>
      </c>
      <c r="J17" s="16">
        <v>0.91</v>
      </c>
      <c r="K17" s="6">
        <v>0.66800000000000004</v>
      </c>
      <c r="L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1.3622754491017963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tblSavedInsertSpeed[[#This Row],[Words Count]]*tblSavedInsertSpeed[[#This Row],[Word Length]]</f>
        <v>100000</v>
      </c>
      <c r="J18" s="16">
        <v>4.625</v>
      </c>
      <c r="K18" s="6">
        <v>3.383</v>
      </c>
      <c r="L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1.3671297664794562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tblSavedInsertSpeed[[#This Row],[Words Count]]*tblSavedInsertSpeed[[#This Row],[Word Length]]</f>
        <v>200000</v>
      </c>
      <c r="J19" s="16">
        <v>0.02</v>
      </c>
      <c r="K19" s="6">
        <v>1.6E-2</v>
      </c>
      <c r="L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1.25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tblSavedInsertSpeed[[#This Row],[Words Count]]*tblSavedInsertSpeed[[#This Row],[Word Length]]</f>
        <v>200000</v>
      </c>
      <c r="J20" s="16">
        <v>9.3119999999999994</v>
      </c>
      <c r="K20" s="6">
        <v>6.4530000000000003</v>
      </c>
      <c r="L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1.4430497443049743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tblSavedInsertSpeed[[#This Row],[Words Count]]*tblSavedInsertSpeed[[#This Row],[Word Length]]</f>
        <v>200000</v>
      </c>
      <c r="J21" s="16">
        <v>18.675999999999998</v>
      </c>
      <c r="K21" s="6">
        <v>12.977</v>
      </c>
      <c r="L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1.4391615935886566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tblSavedInsertSpeed[[#This Row],[Words Count]]*tblSavedInsertSpeed[[#This Row],[Word Length]]</f>
        <v>250000</v>
      </c>
      <c r="J22" s="16">
        <v>5.7539999999999996</v>
      </c>
      <c r="K22" s="6">
        <v>3.9769999999999999</v>
      </c>
      <c r="L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1.4468192104601458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tblSavedInsertSpeed[[#This Row],[Words Count]]*tblSavedInsertSpeed[[#This Row],[Word Length]]</f>
        <v>300000</v>
      </c>
      <c r="J23" s="16">
        <v>5.0199999999999996</v>
      </c>
      <c r="K23" s="6">
        <v>2.8439999999999999</v>
      </c>
      <c r="L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1.7651195499296763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tblSavedInsertSpeed[[#This Row],[Words Count]]*tblSavedInsertSpeed[[#This Row],[Word Length]]</f>
        <v>500000</v>
      </c>
      <c r="J24" s="16">
        <v>0.19500000000000001</v>
      </c>
      <c r="K24" s="6">
        <v>9.4E-2</v>
      </c>
      <c r="L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2.0744680851063833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tblSavedInsertSpeed[[#This Row],[Words Count]]*tblSavedInsertSpeed[[#This Row],[Word Length]]</f>
        <v>500000</v>
      </c>
      <c r="J25" s="16">
        <v>19.042999999999999</v>
      </c>
      <c r="K25" s="6">
        <v>7.9340000000000002</v>
      </c>
      <c r="L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2.40017645576002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tblSavedInsertSpeed[[#This Row],[Words Count]]*tblSavedInsertSpeed[[#This Row],[Word Length]]</f>
        <v>500000</v>
      </c>
      <c r="J26" s="16">
        <v>39.5</v>
      </c>
      <c r="K26" s="6">
        <v>16.030999999999999</v>
      </c>
      <c r="L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2.4639760464100808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tblSavedInsertSpeed[[#This Row],[Words Count]]*tblSavedInsertSpeed[[#This Row],[Word Length]]</f>
        <v>1000000</v>
      </c>
      <c r="J27" s="16">
        <v>0.09</v>
      </c>
      <c r="K27" s="6">
        <v>4.7E-2</v>
      </c>
      <c r="L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1.9148936170212765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tblSavedInsertSpeed[[#This Row],[Words Count]]*tblSavedInsertSpeed[[#This Row],[Word Length]]</f>
        <v>1000000</v>
      </c>
      <c r="J28" s="16">
        <v>0.85899999999999999</v>
      </c>
      <c r="K28" s="6">
        <v>0.32800000000000001</v>
      </c>
      <c r="L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2.61890243902439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tblSavedInsertSpeed[[#This Row],[Words Count]]*tblSavedInsertSpeed[[#This Row],[Word Length]]</f>
        <v>1000000</v>
      </c>
      <c r="J29" s="16">
        <v>8.5</v>
      </c>
      <c r="K29" s="6">
        <v>3.1760000000000002</v>
      </c>
      <c r="L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2.6763224181360199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tblSavedInsertSpeed[[#This Row],[Words Count]]*tblSavedInsertSpeed[[#This Row],[Word Length]]</f>
        <v>1000000</v>
      </c>
      <c r="J30" s="16">
        <v>84.18</v>
      </c>
      <c r="K30" s="6">
        <v>31.387</v>
      </c>
      <c r="L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2.6820021027814063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200</v>
      </c>
      <c r="H31" s="4">
        <v>10000</v>
      </c>
      <c r="I31" s="4">
        <f>tblSavedInsertSpeed[[#This Row],[Words Count]]*tblSavedInsertSpeed[[#This Row],[Word Length]]</f>
        <v>2000000</v>
      </c>
      <c r="J31" s="16">
        <v>0.36299999999999999</v>
      </c>
      <c r="K31" s="6">
        <v>0.14799999999999999</v>
      </c>
      <c r="L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2.4527027027027026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500</v>
      </c>
      <c r="H32" s="4">
        <v>10000</v>
      </c>
      <c r="I32" s="4">
        <f>tblSavedInsertSpeed[[#This Row],[Words Count]]*tblSavedInsertSpeed[[#This Row],[Word Length]]</f>
        <v>5000000</v>
      </c>
      <c r="J32" s="16">
        <v>2.2029999999999998</v>
      </c>
      <c r="K32" s="6">
        <v>0.90600000000000003</v>
      </c>
      <c r="L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2.4315673289183222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50000</v>
      </c>
      <c r="H33" s="4">
        <v>100</v>
      </c>
      <c r="I33" s="4">
        <f>tblSavedInsertSpeed[[#This Row],[Words Count]]*tblSavedInsertSpeed[[#This Row],[Word Length]]</f>
        <v>5000000</v>
      </c>
      <c r="J33" s="16">
        <v>223.32</v>
      </c>
      <c r="K33" s="6">
        <v>85.573999999999998</v>
      </c>
      <c r="L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2.6096711618014816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10</v>
      </c>
      <c r="H34" s="4">
        <v>1000000</v>
      </c>
      <c r="I34" s="4">
        <f>tblSavedInsertSpeed[[#This Row],[Words Count]]*tblSavedInsertSpeed[[#This Row],[Word Length]]</f>
        <v>10000000</v>
      </c>
      <c r="J34" s="16">
        <v>0.14799999999999999</v>
      </c>
      <c r="K34" s="6">
        <v>0.11700000000000001</v>
      </c>
      <c r="L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1.2649572649572649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100</v>
      </c>
      <c r="H35" s="4">
        <v>100000</v>
      </c>
      <c r="I35" s="4">
        <f>tblSavedInsertSpeed[[#This Row],[Words Count]]*tblSavedInsertSpeed[[#This Row],[Word Length]]</f>
        <v>10000000</v>
      </c>
      <c r="J35" s="16">
        <v>0.93400000000000005</v>
      </c>
      <c r="K35" s="6">
        <v>0.42199999999999999</v>
      </c>
      <c r="L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2.2132701421800949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200</v>
      </c>
      <c r="H36" s="4">
        <v>50000</v>
      </c>
      <c r="I36" s="4">
        <f>tblSavedInsertSpeed[[#This Row],[Words Count]]*tblSavedInsertSpeed[[#This Row],[Word Length]]</f>
        <v>10000000</v>
      </c>
      <c r="J36" s="16">
        <v>1.8160000000000001</v>
      </c>
      <c r="K36" s="6">
        <v>0.75</v>
      </c>
      <c r="L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2.4213333333333336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500</v>
      </c>
      <c r="H37" s="4">
        <v>20000</v>
      </c>
      <c r="I37" s="4">
        <f>tblSavedInsertSpeed[[#This Row],[Words Count]]*tblSavedInsertSpeed[[#This Row],[Word Length]]</f>
        <v>10000000</v>
      </c>
      <c r="J37" s="16">
        <v>4.3630000000000004</v>
      </c>
      <c r="K37" s="6">
        <v>1.7190000000000001</v>
      </c>
      <c r="L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2.5381035485747527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1000</v>
      </c>
      <c r="H38" s="4">
        <v>10000</v>
      </c>
      <c r="I38" s="4">
        <f>tblSavedInsertSpeed[[#This Row],[Words Count]]*tblSavedInsertSpeed[[#This Row],[Word Length]]</f>
        <v>10000000</v>
      </c>
      <c r="J38" s="16">
        <v>8.6720000000000006</v>
      </c>
      <c r="K38" s="6">
        <v>3.3479999999999999</v>
      </c>
      <c r="L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2.5902031063321389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10000</v>
      </c>
      <c r="H39" s="4">
        <v>1000</v>
      </c>
      <c r="I39" s="4">
        <f>tblSavedInsertSpeed[[#This Row],[Words Count]]*tblSavedInsertSpeed[[#This Row],[Word Length]]</f>
        <v>10000000</v>
      </c>
      <c r="J39" s="16">
        <v>87.492000000000004</v>
      </c>
      <c r="K39" s="6">
        <v>31.640999999999998</v>
      </c>
      <c r="L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2.7651464871527454</v>
      </c>
    </row>
    <row r="40" spans="1:12" x14ac:dyDescent="0.25">
      <c r="A40">
        <v>2</v>
      </c>
      <c r="B40" t="s">
        <v>15</v>
      </c>
      <c r="C40" t="s">
        <v>16</v>
      </c>
      <c r="D40" t="s">
        <v>16</v>
      </c>
      <c r="E40" t="s">
        <v>20</v>
      </c>
      <c r="F40" t="s">
        <v>21</v>
      </c>
      <c r="G40" s="15">
        <v>10</v>
      </c>
      <c r="H40" s="4">
        <v>1000</v>
      </c>
      <c r="I40" s="4">
        <f>tblSavedInsertSpeed[[#This Row],[Words Count]]*tblSavedInsertSpeed[[#This Row],[Word Length]]</f>
        <v>10000</v>
      </c>
      <c r="J40" s="16">
        <v>0</v>
      </c>
      <c r="K40" s="6">
        <v>0</v>
      </c>
      <c r="L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1" spans="1:12" x14ac:dyDescent="0.25">
      <c r="A41">
        <v>2</v>
      </c>
      <c r="B41" t="s">
        <v>15</v>
      </c>
      <c r="C41" t="s">
        <v>16</v>
      </c>
      <c r="D41" t="s">
        <v>16</v>
      </c>
      <c r="E41" t="s">
        <v>20</v>
      </c>
      <c r="F41" t="s">
        <v>21</v>
      </c>
      <c r="G41" s="15">
        <v>100</v>
      </c>
      <c r="H41" s="4">
        <v>100</v>
      </c>
      <c r="I41" s="4">
        <f>tblSavedInsertSpeed[[#This Row],[Words Count]]*tblSavedInsertSpeed[[#This Row],[Word Length]]</f>
        <v>10000</v>
      </c>
      <c r="J41" s="16">
        <v>4.0000000000000001E-3</v>
      </c>
      <c r="K41" s="6">
        <v>4.0000000000000001E-3</v>
      </c>
      <c r="L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1000</v>
      </c>
      <c r="H42" s="4">
        <v>10</v>
      </c>
      <c r="I42" s="4">
        <f>tblSavedInsertSpeed[[#This Row],[Words Count]]*tblSavedInsertSpeed[[#This Row],[Word Length]]</f>
        <v>10000</v>
      </c>
      <c r="J42" s="16">
        <v>8.0000000000000002E-3</v>
      </c>
      <c r="K42" s="6">
        <v>4.0000000000000001E-3</v>
      </c>
      <c r="L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2000</v>
      </c>
      <c r="H43" s="4">
        <v>5</v>
      </c>
      <c r="I43" s="4">
        <f>tblSavedInsertSpeed[[#This Row],[Words Count]]*tblSavedInsertSpeed[[#This Row],[Word Length]]</f>
        <v>10000</v>
      </c>
      <c r="J43" s="16">
        <v>1.2E-2</v>
      </c>
      <c r="K43" s="6">
        <v>1.2E-2</v>
      </c>
      <c r="L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10000</v>
      </c>
      <c r="H44" s="4">
        <v>1</v>
      </c>
      <c r="I44" s="4">
        <f>tblSavedInsertSpeed[[#This Row],[Words Count]]*tblSavedInsertSpeed[[#This Row],[Word Length]]</f>
        <v>10000</v>
      </c>
      <c r="J44" s="16">
        <v>5.0999999999999997E-2</v>
      </c>
      <c r="K44" s="6">
        <v>3.9E-2</v>
      </c>
      <c r="L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1.3076923076923077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</v>
      </c>
      <c r="H45" s="4">
        <v>100</v>
      </c>
      <c r="I45" s="4">
        <f>tblSavedInsertSpeed[[#This Row],[Words Count]]*tblSavedInsertSpeed[[#This Row],[Word Length]]</f>
        <v>20000</v>
      </c>
      <c r="J45" s="16">
        <v>4.0000000000000001E-3</v>
      </c>
      <c r="K45" s="6">
        <v>4.0000000000000001E-3</v>
      </c>
      <c r="L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20000</v>
      </c>
      <c r="H46" s="4">
        <v>1</v>
      </c>
      <c r="I46" s="4">
        <f>tblSavedInsertSpeed[[#This Row],[Words Count]]*tblSavedInsertSpeed[[#This Row],[Word Length]]</f>
        <v>20000</v>
      </c>
      <c r="J46" s="16">
        <v>0.20699999999999999</v>
      </c>
      <c r="K46" s="6">
        <v>8.5999999999999993E-2</v>
      </c>
      <c r="L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2.4069767441860468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500</v>
      </c>
      <c r="H47" s="4">
        <v>100</v>
      </c>
      <c r="I47" s="4">
        <f>tblSavedInsertSpeed[[#This Row],[Words Count]]*tblSavedInsertSpeed[[#This Row],[Word Length]]</f>
        <v>50000</v>
      </c>
      <c r="J47" s="16">
        <v>1.2E-2</v>
      </c>
      <c r="K47" s="6">
        <v>0</v>
      </c>
      <c r="L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24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5000</v>
      </c>
      <c r="H48" s="4">
        <v>10</v>
      </c>
      <c r="I48" s="4">
        <f>tblSavedInsertSpeed[[#This Row],[Words Count]]*tblSavedInsertSpeed[[#This Row],[Word Length]]</f>
        <v>50000</v>
      </c>
      <c r="J48" s="16">
        <v>0.14099999999999999</v>
      </c>
      <c r="K48" s="6">
        <v>3.1E-2</v>
      </c>
      <c r="L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4.5483870967741931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10000</v>
      </c>
      <c r="H49" s="4">
        <v>5</v>
      </c>
      <c r="I49" s="4">
        <f>tblSavedInsertSpeed[[#This Row],[Words Count]]*tblSavedInsertSpeed[[#This Row],[Word Length]]</f>
        <v>50000</v>
      </c>
      <c r="J49" s="16">
        <v>0.25800000000000001</v>
      </c>
      <c r="K49" s="6">
        <v>5.0999999999999997E-2</v>
      </c>
      <c r="L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5.0588235294117654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50000</v>
      </c>
      <c r="H50" s="4">
        <v>1</v>
      </c>
      <c r="I50" s="4">
        <f>tblSavedInsertSpeed[[#This Row],[Words Count]]*tblSavedInsertSpeed[[#This Row],[Word Length]]</f>
        <v>50000</v>
      </c>
      <c r="J50" s="16">
        <v>1.266</v>
      </c>
      <c r="K50" s="6">
        <v>0.254</v>
      </c>
      <c r="L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4.984251968503937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</v>
      </c>
      <c r="H51" s="4">
        <v>10000</v>
      </c>
      <c r="I51" s="4">
        <f>tblSavedInsertSpeed[[#This Row],[Words Count]]*tblSavedInsertSpeed[[#This Row],[Word Length]]</f>
        <v>100000</v>
      </c>
      <c r="J51" s="16">
        <v>0</v>
      </c>
      <c r="K51" s="6">
        <v>0</v>
      </c>
      <c r="L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100</v>
      </c>
      <c r="H52" s="4">
        <v>1000</v>
      </c>
      <c r="I52" s="4">
        <f>tblSavedInsertSpeed[[#This Row],[Words Count]]*tblSavedInsertSpeed[[#This Row],[Word Length]]</f>
        <v>100000</v>
      </c>
      <c r="J52" s="16">
        <v>4.0000000000000001E-3</v>
      </c>
      <c r="K52" s="6">
        <v>0</v>
      </c>
      <c r="L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1000</v>
      </c>
      <c r="H53" s="4">
        <v>100</v>
      </c>
      <c r="I53" s="4">
        <f>tblSavedInsertSpeed[[#This Row],[Words Count]]*tblSavedInsertSpeed[[#This Row],[Word Length]]</f>
        <v>100000</v>
      </c>
      <c r="J53" s="16">
        <v>5.5E-2</v>
      </c>
      <c r="K53" s="6">
        <v>8.0000000000000002E-3</v>
      </c>
      <c r="L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6.875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10000</v>
      </c>
      <c r="H54" s="4">
        <v>10</v>
      </c>
      <c r="I54" s="4">
        <f>tblSavedInsertSpeed[[#This Row],[Words Count]]*tblSavedInsertSpeed[[#This Row],[Word Length]]</f>
        <v>100000</v>
      </c>
      <c r="J54" s="16">
        <v>0.52</v>
      </c>
      <c r="K54" s="6">
        <v>7.0000000000000007E-2</v>
      </c>
      <c r="L5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7.4285714285714279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20000</v>
      </c>
      <c r="H55" s="4">
        <v>5</v>
      </c>
      <c r="I55" s="4">
        <f>tblSavedInsertSpeed[[#This Row],[Words Count]]*tblSavedInsertSpeed[[#This Row],[Word Length]]</f>
        <v>100000</v>
      </c>
      <c r="J55" s="16">
        <v>1.0309999999999999</v>
      </c>
      <c r="K55" s="6">
        <v>0.13700000000000001</v>
      </c>
      <c r="L5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7.5255474452554729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100000</v>
      </c>
      <c r="H56" s="4">
        <v>1</v>
      </c>
      <c r="I56" s="4">
        <f>tblSavedInsertSpeed[[#This Row],[Words Count]]*tblSavedInsertSpeed[[#This Row],[Word Length]]</f>
        <v>100000</v>
      </c>
      <c r="J56" s="16">
        <v>5.2270000000000003</v>
      </c>
      <c r="K56" s="6">
        <v>0.66800000000000004</v>
      </c>
      <c r="L5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7.8248502994011977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</v>
      </c>
      <c r="H57" s="4">
        <v>1000</v>
      </c>
      <c r="I57" s="4">
        <f>tblSavedInsertSpeed[[#This Row],[Words Count]]*tblSavedInsertSpeed[[#This Row],[Word Length]]</f>
        <v>200000</v>
      </c>
      <c r="J57" s="16">
        <v>2.3E-2</v>
      </c>
      <c r="K57" s="6">
        <v>8.0000000000000002E-3</v>
      </c>
      <c r="L5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2.875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2</v>
      </c>
      <c r="I58" s="4">
        <f>tblSavedInsertSpeed[[#This Row],[Words Count]]*tblSavedInsertSpeed[[#This Row],[Word Length]]</f>
        <v>200000</v>
      </c>
      <c r="J58" s="16">
        <v>10.66</v>
      </c>
      <c r="K58" s="6">
        <v>1.1519999999999999</v>
      </c>
      <c r="L5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9.2534722222222232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200000</v>
      </c>
      <c r="H59" s="4">
        <v>1</v>
      </c>
      <c r="I59" s="4">
        <f>tblSavedInsertSpeed[[#This Row],[Words Count]]*tblSavedInsertSpeed[[#This Row],[Word Length]]</f>
        <v>200000</v>
      </c>
      <c r="J59" s="16">
        <v>20.73</v>
      </c>
      <c r="K59" s="6">
        <v>2.27</v>
      </c>
      <c r="L5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9.1321585903083697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50000</v>
      </c>
      <c r="H60" s="4">
        <v>5</v>
      </c>
      <c r="I60" s="4">
        <f>tblSavedInsertSpeed[[#This Row],[Words Count]]*tblSavedInsertSpeed[[#This Row],[Word Length]]</f>
        <v>250000</v>
      </c>
      <c r="J60" s="16">
        <v>6.6520000000000001</v>
      </c>
      <c r="K60" s="6">
        <v>0.78900000000000003</v>
      </c>
      <c r="L6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8.4309252217997468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30000</v>
      </c>
      <c r="H61" s="4">
        <v>10</v>
      </c>
      <c r="I61" s="4">
        <f>tblSavedInsertSpeed[[#This Row],[Words Count]]*tblSavedInsertSpeed[[#This Row],[Word Length]]</f>
        <v>300000</v>
      </c>
      <c r="J61" s="16">
        <v>4.75</v>
      </c>
      <c r="K61" s="6">
        <v>0.49199999999999999</v>
      </c>
      <c r="L6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9.654471544715447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</v>
      </c>
      <c r="H62" s="4">
        <v>1000</v>
      </c>
      <c r="I62" s="4">
        <f>tblSavedInsertSpeed[[#This Row],[Words Count]]*tblSavedInsertSpeed[[#This Row],[Word Length]]</f>
        <v>500000</v>
      </c>
      <c r="J62" s="16">
        <v>0.14099999999999999</v>
      </c>
      <c r="K62" s="6">
        <v>3.9E-2</v>
      </c>
      <c r="L6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3.615384615384615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50000</v>
      </c>
      <c r="H63" s="4">
        <v>10</v>
      </c>
      <c r="I63" s="4">
        <f>tblSavedInsertSpeed[[#This Row],[Words Count]]*tblSavedInsertSpeed[[#This Row],[Word Length]]</f>
        <v>500000</v>
      </c>
      <c r="J63" s="16">
        <v>13.648</v>
      </c>
      <c r="K63" s="6">
        <v>1.2809999999999999</v>
      </c>
      <c r="L6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10.654176424668229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100000</v>
      </c>
      <c r="H64" s="4">
        <v>5</v>
      </c>
      <c r="I64" s="4">
        <f>tblSavedInsertSpeed[[#This Row],[Words Count]]*tblSavedInsertSpeed[[#This Row],[Word Length]]</f>
        <v>500000</v>
      </c>
      <c r="J64" s="16">
        <v>26.055</v>
      </c>
      <c r="K64" s="6">
        <v>2.5510000000000002</v>
      </c>
      <c r="L6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10.213641709133672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100</v>
      </c>
      <c r="H65" s="4">
        <v>10000</v>
      </c>
      <c r="I65" s="4">
        <f>tblSavedInsertSpeed[[#This Row],[Words Count]]*tblSavedInsertSpeed[[#This Row],[Word Length]]</f>
        <v>1000000</v>
      </c>
      <c r="J65" s="16">
        <v>0.113</v>
      </c>
      <c r="K65" s="6">
        <v>2.3E-2</v>
      </c>
      <c r="L6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4.9130434782608701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</v>
      </c>
      <c r="H66" s="4">
        <v>1000</v>
      </c>
      <c r="I66" s="4">
        <f>tblSavedInsertSpeed[[#This Row],[Words Count]]*tblSavedInsertSpeed[[#This Row],[Word Length]]</f>
        <v>1000000</v>
      </c>
      <c r="J66" s="16">
        <v>1.0229999999999999</v>
      </c>
      <c r="K66" s="6">
        <v>0.156</v>
      </c>
      <c r="L6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6.5576923076923075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10000</v>
      </c>
      <c r="H67" s="4">
        <v>100</v>
      </c>
      <c r="I67" s="4">
        <f>tblSavedInsertSpeed[[#This Row],[Words Count]]*tblSavedInsertSpeed[[#This Row],[Word Length]]</f>
        <v>1000000</v>
      </c>
      <c r="J67" s="16">
        <v>10.32</v>
      </c>
      <c r="K67" s="6">
        <v>0.48799999999999999</v>
      </c>
      <c r="L6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21.147540983606557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100000</v>
      </c>
      <c r="H68" s="4">
        <v>10</v>
      </c>
      <c r="I68" s="4">
        <f>tblSavedInsertSpeed[[#This Row],[Words Count]]*tblSavedInsertSpeed[[#This Row],[Word Length]]</f>
        <v>1000000</v>
      </c>
      <c r="J68" s="16">
        <v>103.937</v>
      </c>
      <c r="K68" s="6">
        <v>4.8129999999999997</v>
      </c>
      <c r="L6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21.595055059214626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200</v>
      </c>
      <c r="H69" s="4">
        <v>10000</v>
      </c>
      <c r="I69" s="4">
        <f>tblSavedInsertSpeed[[#This Row],[Words Count]]*tblSavedInsertSpeed[[#This Row],[Word Length]]</f>
        <v>2000000</v>
      </c>
      <c r="J69" s="16">
        <v>0.625</v>
      </c>
      <c r="K69" s="6">
        <v>8.5999999999999993E-2</v>
      </c>
      <c r="L6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7.2674418604651168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500</v>
      </c>
      <c r="H70" s="4">
        <v>10000</v>
      </c>
      <c r="I70" s="4">
        <f>tblSavedInsertSpeed[[#This Row],[Words Count]]*tblSavedInsertSpeed[[#This Row],[Word Length]]</f>
        <v>5000000</v>
      </c>
      <c r="J70" s="16">
        <v>3.1640000000000001</v>
      </c>
      <c r="K70" s="6">
        <v>0.379</v>
      </c>
      <c r="L7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8.3482849604221645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50000</v>
      </c>
      <c r="H71" s="4">
        <v>100</v>
      </c>
      <c r="I71" s="4">
        <f>tblSavedInsertSpeed[[#This Row],[Words Count]]*tblSavedInsertSpeed[[#This Row],[Word Length]]</f>
        <v>5000000</v>
      </c>
      <c r="J71" s="16">
        <v>379.96899999999999</v>
      </c>
      <c r="K71" s="6">
        <v>20.66</v>
      </c>
      <c r="L7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18.391529525653436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10</v>
      </c>
      <c r="H72" s="4">
        <v>1000000</v>
      </c>
      <c r="I72" s="4">
        <f>tblSavedInsertSpeed[[#This Row],[Words Count]]*tblSavedInsertSpeed[[#This Row],[Word Length]]</f>
        <v>10000000</v>
      </c>
      <c r="J72" s="16">
        <v>0.215</v>
      </c>
      <c r="K72" s="6">
        <v>0.13300000000000001</v>
      </c>
      <c r="L7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1.6165413533834585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100</v>
      </c>
      <c r="H73" s="4">
        <v>100000</v>
      </c>
      <c r="I73" s="4">
        <f>tblSavedInsertSpeed[[#This Row],[Words Count]]*tblSavedInsertSpeed[[#This Row],[Word Length]]</f>
        <v>10000000</v>
      </c>
      <c r="J73" s="16">
        <v>1.3049999999999999</v>
      </c>
      <c r="K73" s="6">
        <v>0.22700000000000001</v>
      </c>
      <c r="L7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5.7488986784140961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200</v>
      </c>
      <c r="H74" s="4">
        <v>50000</v>
      </c>
      <c r="I74" s="4">
        <f>tblSavedInsertSpeed[[#This Row],[Words Count]]*tblSavedInsertSpeed[[#This Row],[Word Length]]</f>
        <v>10000000</v>
      </c>
      <c r="J74" s="16">
        <v>2.516</v>
      </c>
      <c r="K74" s="6">
        <v>0.35499999999999998</v>
      </c>
      <c r="L7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7.0873239436619722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500</v>
      </c>
      <c r="H75" s="4">
        <v>20000</v>
      </c>
      <c r="I75" s="4">
        <f>tblSavedInsertSpeed[[#This Row],[Words Count]]*tblSavedInsertSpeed[[#This Row],[Word Length]]</f>
        <v>10000000</v>
      </c>
      <c r="J75" s="16">
        <v>9.2620000000000005</v>
      </c>
      <c r="K75" s="6">
        <v>1.2110000000000001</v>
      </c>
      <c r="L7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7.64822460776218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1000</v>
      </c>
      <c r="H76" s="4">
        <v>10000</v>
      </c>
      <c r="I76" s="4">
        <f>tblSavedInsertSpeed[[#This Row],[Words Count]]*tblSavedInsertSpeed[[#This Row],[Word Length]]</f>
        <v>10000000</v>
      </c>
      <c r="J76" s="16">
        <v>18.387</v>
      </c>
      <c r="K76" s="6">
        <v>2.3439999999999999</v>
      </c>
      <c r="L7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7.844283276450513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10000</v>
      </c>
      <c r="H77" s="4">
        <v>1000</v>
      </c>
      <c r="I77" s="4">
        <f>tblSavedInsertSpeed[[#This Row],[Words Count]]*tblSavedInsertSpeed[[#This Row],[Word Length]]</f>
        <v>10000000</v>
      </c>
      <c r="J77" s="16">
        <v>176.26599999999999</v>
      </c>
      <c r="K77" s="6">
        <v>25.515999999999998</v>
      </c>
      <c r="L7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6.9080576892929928</v>
      </c>
    </row>
    <row r="78" spans="1:12" x14ac:dyDescent="0.25">
      <c r="A78">
        <v>3</v>
      </c>
      <c r="B78" t="s">
        <v>22</v>
      </c>
      <c r="C78" t="s">
        <v>16</v>
      </c>
      <c r="D78" t="s">
        <v>16</v>
      </c>
      <c r="E78" t="s">
        <v>20</v>
      </c>
      <c r="F78" t="s">
        <v>23</v>
      </c>
      <c r="G78" s="15">
        <v>10</v>
      </c>
      <c r="H78" s="4">
        <v>1000</v>
      </c>
      <c r="I78" s="4">
        <f>tblSavedInsertSpeed[[#This Row],[Words Count]]*tblSavedInsertSpeed[[#This Row],[Word Length]]</f>
        <v>10000</v>
      </c>
      <c r="J78" s="16">
        <v>0</v>
      </c>
      <c r="K78" s="6">
        <v>0</v>
      </c>
      <c r="L7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9" spans="1:12" x14ac:dyDescent="0.25">
      <c r="A79">
        <v>3</v>
      </c>
      <c r="B79" t="s">
        <v>22</v>
      </c>
      <c r="C79" t="s">
        <v>16</v>
      </c>
      <c r="D79" t="s">
        <v>16</v>
      </c>
      <c r="E79" t="s">
        <v>20</v>
      </c>
      <c r="F79" t="s">
        <v>23</v>
      </c>
      <c r="G79" s="15">
        <v>100</v>
      </c>
      <c r="H79" s="4">
        <v>100</v>
      </c>
      <c r="I79" s="4">
        <f>tblSavedInsertSpeed[[#This Row],[Words Count]]*tblSavedInsertSpeed[[#This Row],[Word Length]]</f>
        <v>10000</v>
      </c>
      <c r="J79" s="16">
        <v>0.01</v>
      </c>
      <c r="K79" s="6">
        <v>0.01</v>
      </c>
      <c r="L7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0" spans="1:12" x14ac:dyDescent="0.25">
      <c r="A80">
        <v>3</v>
      </c>
      <c r="B80" t="s">
        <v>22</v>
      </c>
      <c r="C80" t="s">
        <v>16</v>
      </c>
      <c r="D80" t="s">
        <v>16</v>
      </c>
      <c r="E80" t="s">
        <v>20</v>
      </c>
      <c r="F80" t="s">
        <v>23</v>
      </c>
      <c r="G80" s="15">
        <v>1000</v>
      </c>
      <c r="H80" s="4">
        <v>10</v>
      </c>
      <c r="I80" s="4">
        <f>tblSavedInsertSpeed[[#This Row],[Words Count]]*tblSavedInsertSpeed[[#This Row],[Word Length]]</f>
        <v>10000</v>
      </c>
      <c r="J80" s="16">
        <v>0.01</v>
      </c>
      <c r="K80" s="6">
        <v>0.01</v>
      </c>
      <c r="L8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1" spans="1:12" x14ac:dyDescent="0.25">
      <c r="A81">
        <v>3</v>
      </c>
      <c r="B81" t="s">
        <v>22</v>
      </c>
      <c r="C81" t="s">
        <v>16</v>
      </c>
      <c r="D81" t="s">
        <v>16</v>
      </c>
      <c r="E81" t="s">
        <v>20</v>
      </c>
      <c r="F81" t="s">
        <v>23</v>
      </c>
      <c r="G81" s="15">
        <v>2000</v>
      </c>
      <c r="H81" s="4">
        <v>5</v>
      </c>
      <c r="I81" s="4">
        <f>tblSavedInsertSpeed[[#This Row],[Words Count]]*tblSavedInsertSpeed[[#This Row],[Word Length]]</f>
        <v>10000</v>
      </c>
      <c r="J81" s="16">
        <v>0.02</v>
      </c>
      <c r="K81" s="6">
        <v>0.02</v>
      </c>
      <c r="L8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10000</v>
      </c>
      <c r="H82" s="4">
        <v>1</v>
      </c>
      <c r="I82" s="4">
        <f>tblSavedInsertSpeed[[#This Row],[Words Count]]*tblSavedInsertSpeed[[#This Row],[Word Length]]</f>
        <v>10000</v>
      </c>
      <c r="J82" s="16">
        <v>0.1</v>
      </c>
      <c r="K82" s="6">
        <v>0.09</v>
      </c>
      <c r="L8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1.1111111111111112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200</v>
      </c>
      <c r="H83" s="4">
        <v>100</v>
      </c>
      <c r="I83" s="4">
        <f>tblSavedInsertSpeed[[#This Row],[Words Count]]*tblSavedInsertSpeed[[#This Row],[Word Length]]</f>
        <v>20000</v>
      </c>
      <c r="J83" s="16">
        <v>0</v>
      </c>
      <c r="K83" s="6">
        <v>0</v>
      </c>
      <c r="L8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20000</v>
      </c>
      <c r="H84" s="4">
        <v>1</v>
      </c>
      <c r="I84" s="4">
        <f>tblSavedInsertSpeed[[#This Row],[Words Count]]*tblSavedInsertSpeed[[#This Row],[Word Length]]</f>
        <v>20000</v>
      </c>
      <c r="J84" s="16">
        <v>0.33</v>
      </c>
      <c r="K84" s="6">
        <v>0.18</v>
      </c>
      <c r="L8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1.8333333333333335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500</v>
      </c>
      <c r="H85" s="4">
        <v>100</v>
      </c>
      <c r="I85" s="4">
        <f>tblSavedInsertSpeed[[#This Row],[Words Count]]*tblSavedInsertSpeed[[#This Row],[Word Length]]</f>
        <v>50000</v>
      </c>
      <c r="J85" s="16">
        <v>0.02</v>
      </c>
      <c r="K85" s="6">
        <v>0</v>
      </c>
      <c r="L8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5000</v>
      </c>
      <c r="H86" s="4">
        <v>10</v>
      </c>
      <c r="I86" s="4">
        <f>tblSavedInsertSpeed[[#This Row],[Words Count]]*tblSavedInsertSpeed[[#This Row],[Word Length]]</f>
        <v>50000</v>
      </c>
      <c r="J86" s="16">
        <v>0.17</v>
      </c>
      <c r="K86" s="6">
        <v>0.05</v>
      </c>
      <c r="L8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10000</v>
      </c>
      <c r="H87" s="4">
        <v>5</v>
      </c>
      <c r="I87" s="4">
        <f>tblSavedInsertSpeed[[#This Row],[Words Count]]*tblSavedInsertSpeed[[#This Row],[Word Length]]</f>
        <v>50000</v>
      </c>
      <c r="J87" s="16">
        <v>0.34</v>
      </c>
      <c r="K87" s="6">
        <v>0.1</v>
      </c>
      <c r="L8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50000</v>
      </c>
      <c r="H88" s="4">
        <v>1</v>
      </c>
      <c r="I88" s="4">
        <f>tblSavedInsertSpeed[[#This Row],[Words Count]]*tblSavedInsertSpeed[[#This Row],[Word Length]]</f>
        <v>50000</v>
      </c>
      <c r="J88" s="16">
        <v>1.7</v>
      </c>
      <c r="K88" s="6">
        <v>0.47</v>
      </c>
      <c r="L8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3.6170212765957448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10</v>
      </c>
      <c r="H89" s="4">
        <v>10000</v>
      </c>
      <c r="I89" s="4">
        <f>tblSavedInsertSpeed[[#This Row],[Words Count]]*tblSavedInsertSpeed[[#This Row],[Word Length]]</f>
        <v>100000</v>
      </c>
      <c r="J89" s="16">
        <v>0</v>
      </c>
      <c r="K89" s="6">
        <v>0</v>
      </c>
      <c r="L8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100</v>
      </c>
      <c r="H90" s="4">
        <v>1000</v>
      </c>
      <c r="I90" s="4">
        <f>tblSavedInsertSpeed[[#This Row],[Words Count]]*tblSavedInsertSpeed[[#This Row],[Word Length]]</f>
        <v>100000</v>
      </c>
      <c r="J90" s="16">
        <v>0.01</v>
      </c>
      <c r="K90" s="6">
        <v>0</v>
      </c>
      <c r="L9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</v>
      </c>
      <c r="H91" s="4">
        <v>100</v>
      </c>
      <c r="I91" s="4">
        <f>tblSavedInsertSpeed[[#This Row],[Words Count]]*tblSavedInsertSpeed[[#This Row],[Word Length]]</f>
        <v>100000</v>
      </c>
      <c r="J91" s="16">
        <v>7.0000000000000007E-2</v>
      </c>
      <c r="K91" s="6">
        <v>0.01</v>
      </c>
      <c r="L9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10000</v>
      </c>
      <c r="H92" s="4">
        <v>10</v>
      </c>
      <c r="I92" s="4">
        <f>tblSavedInsertSpeed[[#This Row],[Words Count]]*tblSavedInsertSpeed[[#This Row],[Word Length]]</f>
        <v>100000</v>
      </c>
      <c r="J92" s="16">
        <v>0.64</v>
      </c>
      <c r="K92" s="6">
        <v>0.1</v>
      </c>
      <c r="L9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6.3999999999999995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20000</v>
      </c>
      <c r="H93" s="4">
        <v>5</v>
      </c>
      <c r="I93" s="4">
        <f>tblSavedInsertSpeed[[#This Row],[Words Count]]*tblSavedInsertSpeed[[#This Row],[Word Length]]</f>
        <v>100000</v>
      </c>
      <c r="J93" s="16">
        <v>1.28</v>
      </c>
      <c r="K93" s="6">
        <v>0.21</v>
      </c>
      <c r="L9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6.0952380952380958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100000</v>
      </c>
      <c r="H94" s="4">
        <v>1</v>
      </c>
      <c r="I94" s="4">
        <f>tblSavedInsertSpeed[[#This Row],[Words Count]]*tblSavedInsertSpeed[[#This Row],[Word Length]]</f>
        <v>100000</v>
      </c>
      <c r="J94" s="16">
        <v>6.41</v>
      </c>
      <c r="K94" s="6">
        <v>1.03</v>
      </c>
      <c r="L9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6.2233009708737868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200</v>
      </c>
      <c r="H95" s="4">
        <v>1000</v>
      </c>
      <c r="I95" s="4">
        <f>tblSavedInsertSpeed[[#This Row],[Words Count]]*tblSavedInsertSpeed[[#This Row],[Word Length]]</f>
        <v>200000</v>
      </c>
      <c r="J95" s="16">
        <v>0.02</v>
      </c>
      <c r="K95" s="6">
        <v>0.01</v>
      </c>
      <c r="L9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100000</v>
      </c>
      <c r="H96" s="4">
        <v>2</v>
      </c>
      <c r="I96" s="4">
        <f>tblSavedInsertSpeed[[#This Row],[Words Count]]*tblSavedInsertSpeed[[#This Row],[Word Length]]</f>
        <v>200000</v>
      </c>
      <c r="J96" s="16">
        <v>12.36</v>
      </c>
      <c r="K96" s="6">
        <v>1.28</v>
      </c>
      <c r="L9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9.65625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200000</v>
      </c>
      <c r="H97" s="4">
        <v>1</v>
      </c>
      <c r="I97" s="4">
        <f>tblSavedInsertSpeed[[#This Row],[Words Count]]*tblSavedInsertSpeed[[#This Row],[Word Length]]</f>
        <v>200000</v>
      </c>
      <c r="J97" s="16">
        <v>24.9</v>
      </c>
      <c r="K97" s="6">
        <v>2.5499999999999998</v>
      </c>
      <c r="L9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9.764705882352942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50000</v>
      </c>
      <c r="H98" s="4">
        <v>5</v>
      </c>
      <c r="I98" s="4">
        <f>tblSavedInsertSpeed[[#This Row],[Words Count]]*tblSavedInsertSpeed[[#This Row],[Word Length]]</f>
        <v>250000</v>
      </c>
      <c r="J98" s="16">
        <v>7.67</v>
      </c>
      <c r="K98" s="6">
        <v>0.71</v>
      </c>
      <c r="L9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10.802816901408452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30000</v>
      </c>
      <c r="H99" s="4">
        <v>10</v>
      </c>
      <c r="I99" s="4">
        <f>tblSavedInsertSpeed[[#This Row],[Words Count]]*tblSavedInsertSpeed[[#This Row],[Word Length]]</f>
        <v>300000</v>
      </c>
      <c r="J99" s="16">
        <v>5.49</v>
      </c>
      <c r="K99" s="6">
        <v>0.48</v>
      </c>
      <c r="L9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11.4375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500</v>
      </c>
      <c r="H100" s="4">
        <v>1000</v>
      </c>
      <c r="I100" s="4">
        <f>tblSavedInsertSpeed[[#This Row],[Words Count]]*tblSavedInsertSpeed[[#This Row],[Word Length]]</f>
        <v>500000</v>
      </c>
      <c r="J100" s="16">
        <v>0.15</v>
      </c>
      <c r="K100" s="6">
        <v>0.01</v>
      </c>
      <c r="L10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50000</v>
      </c>
      <c r="H101" s="4">
        <v>10</v>
      </c>
      <c r="I101" s="4">
        <f>tblSavedInsertSpeed[[#This Row],[Words Count]]*tblSavedInsertSpeed[[#This Row],[Word Length]]</f>
        <v>500000</v>
      </c>
      <c r="J101" s="16">
        <v>16.34</v>
      </c>
      <c r="K101" s="6">
        <v>1.06</v>
      </c>
      <c r="L10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15.415094339622641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100000</v>
      </c>
      <c r="H102" s="4">
        <v>5</v>
      </c>
      <c r="I102" s="4">
        <f>tblSavedInsertSpeed[[#This Row],[Words Count]]*tblSavedInsertSpeed[[#This Row],[Word Length]]</f>
        <v>500000</v>
      </c>
      <c r="J102" s="16">
        <v>30.15</v>
      </c>
      <c r="K102" s="6">
        <v>2.12</v>
      </c>
      <c r="L10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14.221698113207546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100</v>
      </c>
      <c r="H103" s="4">
        <v>10000</v>
      </c>
      <c r="I103" s="4">
        <f>tblSavedInsertSpeed[[#This Row],[Words Count]]*tblSavedInsertSpeed[[#This Row],[Word Length]]</f>
        <v>1000000</v>
      </c>
      <c r="J103" s="16">
        <v>7.0000000000000007E-2</v>
      </c>
      <c r="K103" s="6">
        <v>0.01</v>
      </c>
      <c r="L10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1000</v>
      </c>
      <c r="H104" s="4">
        <v>1000</v>
      </c>
      <c r="I104" s="4">
        <f>tblSavedInsertSpeed[[#This Row],[Words Count]]*tblSavedInsertSpeed[[#This Row],[Word Length]]</f>
        <v>1000000</v>
      </c>
      <c r="J104" s="16">
        <v>0.62</v>
      </c>
      <c r="K104" s="6">
        <v>0.04</v>
      </c>
      <c r="L10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15.5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10000</v>
      </c>
      <c r="H105" s="4">
        <v>100</v>
      </c>
      <c r="I105" s="4">
        <f>tblSavedInsertSpeed[[#This Row],[Words Count]]*tblSavedInsertSpeed[[#This Row],[Word Length]]</f>
        <v>1000000</v>
      </c>
      <c r="J105" s="16">
        <v>6.54</v>
      </c>
      <c r="K105" s="6">
        <v>0.35</v>
      </c>
      <c r="L10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18.685714285714287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10</v>
      </c>
      <c r="I106" s="4">
        <f>tblSavedInsertSpeed[[#This Row],[Words Count]]*tblSavedInsertSpeed[[#This Row],[Word Length]]</f>
        <v>1000000</v>
      </c>
      <c r="J106" s="16">
        <v>66.05</v>
      </c>
      <c r="K106" s="6">
        <v>3.44</v>
      </c>
      <c r="L10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19.200581395348838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200</v>
      </c>
      <c r="H107" s="4">
        <v>10000</v>
      </c>
      <c r="I107" s="4">
        <f>tblSavedInsertSpeed[[#This Row],[Words Count]]*tblSavedInsertSpeed[[#This Row],[Word Length]]</f>
        <v>2000000</v>
      </c>
      <c r="J107" s="16">
        <v>0.3</v>
      </c>
      <c r="K107" s="6">
        <v>0.03</v>
      </c>
      <c r="L10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500</v>
      </c>
      <c r="H108" s="4">
        <v>10000</v>
      </c>
      <c r="I108" s="4">
        <f>tblSavedInsertSpeed[[#This Row],[Words Count]]*tblSavedInsertSpeed[[#This Row],[Word Length]]</f>
        <v>5000000</v>
      </c>
      <c r="J108" s="16">
        <v>1.91</v>
      </c>
      <c r="K108" s="6">
        <v>0.16</v>
      </c>
      <c r="L10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11.9375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50000</v>
      </c>
      <c r="H109" s="4">
        <v>100</v>
      </c>
      <c r="I109" s="4">
        <f>tblSavedInsertSpeed[[#This Row],[Words Count]]*tblSavedInsertSpeed[[#This Row],[Word Length]]</f>
        <v>5000000</v>
      </c>
      <c r="J109" s="16">
        <v>191.61</v>
      </c>
      <c r="K109" s="6">
        <v>10.68</v>
      </c>
      <c r="L10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17.94101123595506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</v>
      </c>
      <c r="H110" s="4">
        <v>1000000</v>
      </c>
      <c r="I110" s="4">
        <f>tblSavedInsertSpeed[[#This Row],[Words Count]]*tblSavedInsertSpeed[[#This Row],[Word Length]]</f>
        <v>10000000</v>
      </c>
      <c r="J110" s="16">
        <v>0.14000000000000001</v>
      </c>
      <c r="K110" s="6">
        <v>0.08</v>
      </c>
      <c r="L1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1.7500000000000002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</v>
      </c>
      <c r="H111" s="4">
        <v>100000</v>
      </c>
      <c r="I111" s="4">
        <f>tblSavedInsertSpeed[[#This Row],[Words Count]]*tblSavedInsertSpeed[[#This Row],[Word Length]]</f>
        <v>10000000</v>
      </c>
      <c r="J111" s="16">
        <v>0.82</v>
      </c>
      <c r="K111" s="6">
        <v>0.15</v>
      </c>
      <c r="L1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5.4666666666666668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50000</v>
      </c>
      <c r="I112" s="4">
        <f>tblSavedInsertSpeed[[#This Row],[Words Count]]*tblSavedInsertSpeed[[#This Row],[Word Length]]</f>
        <v>10000000</v>
      </c>
      <c r="J112" s="16">
        <v>1.59</v>
      </c>
      <c r="K112" s="6">
        <v>0.21</v>
      </c>
      <c r="L1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7.5714285714285721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20000</v>
      </c>
      <c r="I113" s="4">
        <f>tblSavedInsertSpeed[[#This Row],[Words Count]]*tblSavedInsertSpeed[[#This Row],[Word Length]]</f>
        <v>10000000</v>
      </c>
      <c r="J113" s="16">
        <v>3.81</v>
      </c>
      <c r="K113" s="6">
        <v>0.35</v>
      </c>
      <c r="L1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10.885714285714286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1000</v>
      </c>
      <c r="H114" s="4">
        <v>10000</v>
      </c>
      <c r="I114" s="4">
        <f>tblSavedInsertSpeed[[#This Row],[Words Count]]*tblSavedInsertSpeed[[#This Row],[Word Length]]</f>
        <v>10000000</v>
      </c>
      <c r="J114" s="16">
        <v>7.55</v>
      </c>
      <c r="K114" s="6">
        <v>0.63</v>
      </c>
      <c r="L1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11.984126984126984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10000</v>
      </c>
      <c r="H115" s="4">
        <v>1000</v>
      </c>
      <c r="I115" s="4">
        <f>tblSavedInsertSpeed[[#This Row],[Words Count]]*tblSavedInsertSpeed[[#This Row],[Word Length]]</f>
        <v>10000000</v>
      </c>
      <c r="J115" s="16">
        <v>74.930000000000007</v>
      </c>
      <c r="K115" s="6">
        <v>5</v>
      </c>
      <c r="L1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14.986000000000001</v>
      </c>
    </row>
    <row r="116" spans="1:12" x14ac:dyDescent="0.25">
      <c r="A116">
        <v>4</v>
      </c>
      <c r="B116" t="s">
        <v>24</v>
      </c>
      <c r="C116" t="s">
        <v>16</v>
      </c>
      <c r="D116" t="s">
        <v>17</v>
      </c>
      <c r="E116" t="s">
        <v>25</v>
      </c>
      <c r="F116" t="s">
        <v>26</v>
      </c>
      <c r="G116" s="15">
        <v>10</v>
      </c>
      <c r="H116" s="4">
        <v>1000</v>
      </c>
      <c r="I116" s="4">
        <f>tblSavedInsertSpeed[[#This Row],[Words Count]]*tblSavedInsertSpeed[[#This Row],[Word Length]]</f>
        <v>10000</v>
      </c>
      <c r="J116" s="16">
        <v>0</v>
      </c>
      <c r="K116" s="6">
        <v>0</v>
      </c>
      <c r="L1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7" spans="1:12" x14ac:dyDescent="0.25">
      <c r="A117">
        <v>4</v>
      </c>
      <c r="B117" t="s">
        <v>24</v>
      </c>
      <c r="C117" t="s">
        <v>16</v>
      </c>
      <c r="D117" t="s">
        <v>17</v>
      </c>
      <c r="E117" t="s">
        <v>25</v>
      </c>
      <c r="F117" t="s">
        <v>26</v>
      </c>
      <c r="G117" s="15">
        <v>100</v>
      </c>
      <c r="H117" s="4">
        <v>100</v>
      </c>
      <c r="I117" s="4">
        <f>tblSavedInsertSpeed[[#This Row],[Words Count]]*tblSavedInsertSpeed[[#This Row],[Word Length]]</f>
        <v>10000</v>
      </c>
      <c r="J117" s="16">
        <v>0</v>
      </c>
      <c r="K117" s="6">
        <v>0</v>
      </c>
      <c r="L1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8" spans="1:12" x14ac:dyDescent="0.25">
      <c r="A118">
        <v>4</v>
      </c>
      <c r="B118" t="s">
        <v>24</v>
      </c>
      <c r="C118" t="s">
        <v>16</v>
      </c>
      <c r="D118" t="s">
        <v>17</v>
      </c>
      <c r="E118" t="s">
        <v>25</v>
      </c>
      <c r="F118" t="s">
        <v>26</v>
      </c>
      <c r="G118" s="15">
        <v>1000</v>
      </c>
      <c r="H118" s="4">
        <v>10</v>
      </c>
      <c r="I118" s="4">
        <f>tblSavedInsertSpeed[[#This Row],[Words Count]]*tblSavedInsertSpeed[[#This Row],[Word Length]]</f>
        <v>10000</v>
      </c>
      <c r="J118" s="16">
        <v>0</v>
      </c>
      <c r="K118" s="6">
        <v>0</v>
      </c>
      <c r="L1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9" spans="1:12" x14ac:dyDescent="0.25">
      <c r="A119">
        <v>4</v>
      </c>
      <c r="B119" t="s">
        <v>24</v>
      </c>
      <c r="C119" t="s">
        <v>16</v>
      </c>
      <c r="D119" t="s">
        <v>17</v>
      </c>
      <c r="E119" t="s">
        <v>25</v>
      </c>
      <c r="F119" t="s">
        <v>26</v>
      </c>
      <c r="G119" s="15">
        <v>2000</v>
      </c>
      <c r="H119" s="4">
        <v>5</v>
      </c>
      <c r="I119" s="4">
        <f>tblSavedInsertSpeed[[#This Row],[Words Count]]*tblSavedInsertSpeed[[#This Row],[Word Length]]</f>
        <v>10000</v>
      </c>
      <c r="J119" s="16">
        <v>1.6E-2</v>
      </c>
      <c r="K119" s="6">
        <v>8.0000000000000002E-3</v>
      </c>
      <c r="L1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120" spans="1:12" x14ac:dyDescent="0.25">
      <c r="A120">
        <v>4</v>
      </c>
      <c r="B120" t="s">
        <v>24</v>
      </c>
      <c r="C120" t="s">
        <v>16</v>
      </c>
      <c r="D120" t="s">
        <v>17</v>
      </c>
      <c r="E120" t="s">
        <v>25</v>
      </c>
      <c r="F120" t="s">
        <v>26</v>
      </c>
      <c r="G120" s="15">
        <v>10000</v>
      </c>
      <c r="H120" s="4">
        <v>1</v>
      </c>
      <c r="I120" s="4">
        <f>tblSavedInsertSpeed[[#This Row],[Words Count]]*tblSavedInsertSpeed[[#This Row],[Word Length]]</f>
        <v>10000</v>
      </c>
      <c r="J120" s="16">
        <v>6.3E-2</v>
      </c>
      <c r="K120" s="6">
        <v>4.7E-2</v>
      </c>
      <c r="L1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1.3404255319148937</v>
      </c>
    </row>
    <row r="121" spans="1:12" x14ac:dyDescent="0.25">
      <c r="A121">
        <v>4</v>
      </c>
      <c r="B121" t="s">
        <v>24</v>
      </c>
      <c r="C121" t="s">
        <v>16</v>
      </c>
      <c r="D121" t="s">
        <v>17</v>
      </c>
      <c r="E121" t="s">
        <v>25</v>
      </c>
      <c r="F121" t="s">
        <v>26</v>
      </c>
      <c r="G121" s="15">
        <v>200</v>
      </c>
      <c r="H121" s="4">
        <v>100</v>
      </c>
      <c r="I121" s="4">
        <f>tblSavedInsertSpeed[[#This Row],[Words Count]]*tblSavedInsertSpeed[[#This Row],[Word Length]]</f>
        <v>20000</v>
      </c>
      <c r="J121" s="16">
        <v>0</v>
      </c>
      <c r="K121" s="6">
        <v>0</v>
      </c>
      <c r="L1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20000</v>
      </c>
      <c r="H122" s="4">
        <v>1</v>
      </c>
      <c r="I122" s="4">
        <f>tblSavedInsertSpeed[[#This Row],[Words Count]]*tblSavedInsertSpeed[[#This Row],[Word Length]]</f>
        <v>20000</v>
      </c>
      <c r="J122" s="16">
        <v>0.22700000000000001</v>
      </c>
      <c r="K122" s="6">
        <v>0.16400000000000001</v>
      </c>
      <c r="L1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1.3841463414634145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500</v>
      </c>
      <c r="H123" s="4">
        <v>100</v>
      </c>
      <c r="I123" s="4">
        <f>tblSavedInsertSpeed[[#This Row],[Words Count]]*tblSavedInsertSpeed[[#This Row],[Word Length]]</f>
        <v>50000</v>
      </c>
      <c r="J123" s="16">
        <v>8.0000000000000002E-3</v>
      </c>
      <c r="K123" s="6">
        <v>8.0000000000000002E-3</v>
      </c>
      <c r="L1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5000</v>
      </c>
      <c r="H124" s="4">
        <v>10</v>
      </c>
      <c r="I124" s="4">
        <f>tblSavedInsertSpeed[[#This Row],[Words Count]]*tblSavedInsertSpeed[[#This Row],[Word Length]]</f>
        <v>50000</v>
      </c>
      <c r="J124" s="16">
        <v>0.14099999999999999</v>
      </c>
      <c r="K124" s="6">
        <v>9.4E-2</v>
      </c>
      <c r="L1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1.4999999999999998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10000</v>
      </c>
      <c r="H125" s="4">
        <v>5</v>
      </c>
      <c r="I125" s="4">
        <f>tblSavedInsertSpeed[[#This Row],[Words Count]]*tblSavedInsertSpeed[[#This Row],[Word Length]]</f>
        <v>50000</v>
      </c>
      <c r="J125" s="16">
        <v>0.29699999999999999</v>
      </c>
      <c r="K125" s="6">
        <v>0.19500000000000001</v>
      </c>
      <c r="L1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1.523076923076923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50000</v>
      </c>
      <c r="H126" s="4">
        <v>1</v>
      </c>
      <c r="I126" s="4">
        <f>tblSavedInsertSpeed[[#This Row],[Words Count]]*tblSavedInsertSpeed[[#This Row],[Word Length]]</f>
        <v>50000</v>
      </c>
      <c r="J126" s="16">
        <v>1.3360000000000001</v>
      </c>
      <c r="K126" s="6">
        <v>0.96099999999999997</v>
      </c>
      <c r="L1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1.3902185223725287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10</v>
      </c>
      <c r="H127" s="4">
        <v>10000</v>
      </c>
      <c r="I127" s="4">
        <f>tblSavedInsertSpeed[[#This Row],[Words Count]]*tblSavedInsertSpeed[[#This Row],[Word Length]]</f>
        <v>100000</v>
      </c>
      <c r="J127" s="16">
        <v>0</v>
      </c>
      <c r="K127" s="6">
        <v>0</v>
      </c>
      <c r="L1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100</v>
      </c>
      <c r="H128" s="4">
        <v>1000</v>
      </c>
      <c r="I128" s="4">
        <f>tblSavedInsertSpeed[[#This Row],[Words Count]]*tblSavedInsertSpeed[[#This Row],[Word Length]]</f>
        <v>100000</v>
      </c>
      <c r="J128" s="16">
        <v>0</v>
      </c>
      <c r="K128" s="6">
        <v>0</v>
      </c>
      <c r="L1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1000</v>
      </c>
      <c r="H129" s="4">
        <v>100</v>
      </c>
      <c r="I129" s="4">
        <f>tblSavedInsertSpeed[[#This Row],[Words Count]]*tblSavedInsertSpeed[[#This Row],[Word Length]]</f>
        <v>100000</v>
      </c>
      <c r="J129" s="16">
        <v>6.3E-2</v>
      </c>
      <c r="K129" s="6">
        <v>3.9E-2</v>
      </c>
      <c r="L1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1.6153846153846154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10000</v>
      </c>
      <c r="H130" s="4">
        <v>10</v>
      </c>
      <c r="I130" s="4">
        <f>tblSavedInsertSpeed[[#This Row],[Words Count]]*tblSavedInsertSpeed[[#This Row],[Word Length]]</f>
        <v>100000</v>
      </c>
      <c r="J130" s="16">
        <v>0.54700000000000004</v>
      </c>
      <c r="K130" s="6">
        <v>0.36699999999999999</v>
      </c>
      <c r="L1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1.4904632152588557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20000</v>
      </c>
      <c r="H131" s="4">
        <v>5</v>
      </c>
      <c r="I131" s="4">
        <f>tblSavedInsertSpeed[[#This Row],[Words Count]]*tblSavedInsertSpeed[[#This Row],[Word Length]]</f>
        <v>100000</v>
      </c>
      <c r="J131" s="16">
        <v>1.1479999999999999</v>
      </c>
      <c r="K131" s="6">
        <v>0.80500000000000005</v>
      </c>
      <c r="L1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1.4260869565217389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100000</v>
      </c>
      <c r="H132" s="4">
        <v>1</v>
      </c>
      <c r="I132" s="4">
        <f>tblSavedInsertSpeed[[#This Row],[Words Count]]*tblSavedInsertSpeed[[#This Row],[Word Length]]</f>
        <v>100000</v>
      </c>
      <c r="J132" s="16">
        <v>5.9450000000000003</v>
      </c>
      <c r="K132" s="6">
        <v>3.75</v>
      </c>
      <c r="L1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1.5853333333333335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200</v>
      </c>
      <c r="H133" s="4">
        <v>1000</v>
      </c>
      <c r="I133" s="4">
        <f>tblSavedInsertSpeed[[#This Row],[Words Count]]*tblSavedInsertSpeed[[#This Row],[Word Length]]</f>
        <v>200000</v>
      </c>
      <c r="J133" s="16">
        <v>3.1E-2</v>
      </c>
      <c r="K133" s="6">
        <v>2.3E-2</v>
      </c>
      <c r="L1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1.3478260869565217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100000</v>
      </c>
      <c r="H134" s="4">
        <v>2</v>
      </c>
      <c r="I134" s="4">
        <f>tblSavedInsertSpeed[[#This Row],[Words Count]]*tblSavedInsertSpeed[[#This Row],[Word Length]]</f>
        <v>200000</v>
      </c>
      <c r="J134" s="16">
        <v>12.086</v>
      </c>
      <c r="K134" s="6">
        <v>7.6479999999999997</v>
      </c>
      <c r="L1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1.5802824267782427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200000</v>
      </c>
      <c r="H135" s="4">
        <v>1</v>
      </c>
      <c r="I135" s="4">
        <f>tblSavedInsertSpeed[[#This Row],[Words Count]]*tblSavedInsertSpeed[[#This Row],[Word Length]]</f>
        <v>200000</v>
      </c>
      <c r="J135" s="16">
        <v>23.617000000000001</v>
      </c>
      <c r="K135" s="6">
        <v>15.648</v>
      </c>
      <c r="L1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1.5092663599182006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50000</v>
      </c>
      <c r="H136" s="4">
        <v>5</v>
      </c>
      <c r="I136" s="4">
        <f>tblSavedInsertSpeed[[#This Row],[Words Count]]*tblSavedInsertSpeed[[#This Row],[Word Length]]</f>
        <v>250000</v>
      </c>
      <c r="J136" s="16">
        <v>7.6870000000000003</v>
      </c>
      <c r="K136" s="6">
        <v>5.07</v>
      </c>
      <c r="L1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1.5161735700197239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30000</v>
      </c>
      <c r="H137" s="4">
        <v>10</v>
      </c>
      <c r="I137" s="4">
        <f>tblSavedInsertSpeed[[#This Row],[Words Count]]*tblSavedInsertSpeed[[#This Row],[Word Length]]</f>
        <v>300000</v>
      </c>
      <c r="J137" s="16">
        <v>6.9219999999999997</v>
      </c>
      <c r="K137" s="6">
        <v>3.375</v>
      </c>
      <c r="L1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2.0509629629629629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500</v>
      </c>
      <c r="H138" s="4">
        <v>1000</v>
      </c>
      <c r="I138" s="4">
        <f>tblSavedInsertSpeed[[#This Row],[Words Count]]*tblSavedInsertSpeed[[#This Row],[Word Length]]</f>
        <v>500000</v>
      </c>
      <c r="J138" s="16">
        <v>0.27300000000000002</v>
      </c>
      <c r="K138" s="6">
        <v>0.10199999999999999</v>
      </c>
      <c r="L1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2.6764705882352944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50000</v>
      </c>
      <c r="H139" s="4">
        <v>10</v>
      </c>
      <c r="I139" s="4">
        <f>tblSavedInsertSpeed[[#This Row],[Words Count]]*tblSavedInsertSpeed[[#This Row],[Word Length]]</f>
        <v>500000</v>
      </c>
      <c r="J139" s="16">
        <v>27.25</v>
      </c>
      <c r="K139" s="6">
        <v>9.4610000000000003</v>
      </c>
      <c r="L1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2.8802452172074831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5</v>
      </c>
      <c r="I140" s="4">
        <f>tblSavedInsertSpeed[[#This Row],[Words Count]]*tblSavedInsertSpeed[[#This Row],[Word Length]]</f>
        <v>500000</v>
      </c>
      <c r="J140" s="16">
        <v>57.984000000000002</v>
      </c>
      <c r="K140" s="6">
        <v>19.187999999999999</v>
      </c>
      <c r="L1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3.021888680425266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100</v>
      </c>
      <c r="H141" s="4">
        <v>10000</v>
      </c>
      <c r="I141" s="4">
        <f>tblSavedInsertSpeed[[#This Row],[Words Count]]*tblSavedInsertSpeed[[#This Row],[Word Length]]</f>
        <v>1000000</v>
      </c>
      <c r="J141" s="16">
        <v>0.13300000000000001</v>
      </c>
      <c r="K141" s="6">
        <v>6.3E-2</v>
      </c>
      <c r="L1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2.1111111111111112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1000</v>
      </c>
      <c r="H142" s="4">
        <v>1000</v>
      </c>
      <c r="I142" s="4">
        <f>tblSavedInsertSpeed[[#This Row],[Words Count]]*tblSavedInsertSpeed[[#This Row],[Word Length]]</f>
        <v>1000000</v>
      </c>
      <c r="J142" s="16">
        <v>1.2729999999999999</v>
      </c>
      <c r="K142" s="6">
        <v>0.39100000000000001</v>
      </c>
      <c r="L1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3.2557544757033243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10000</v>
      </c>
      <c r="H143" s="4">
        <v>100</v>
      </c>
      <c r="I143" s="4">
        <f>tblSavedInsertSpeed[[#This Row],[Words Count]]*tblSavedInsertSpeed[[#This Row],[Word Length]]</f>
        <v>1000000</v>
      </c>
      <c r="J143" s="16">
        <v>12.063000000000001</v>
      </c>
      <c r="K143" s="6">
        <v>3.6880000000000002</v>
      </c>
      <c r="L1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3.2708785249457701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100000</v>
      </c>
      <c r="H144" s="4">
        <v>10</v>
      </c>
      <c r="I144" s="4">
        <f>tblSavedInsertSpeed[[#This Row],[Words Count]]*tblSavedInsertSpeed[[#This Row],[Word Length]]</f>
        <v>1000000</v>
      </c>
      <c r="J144" s="16">
        <v>122.46899999999999</v>
      </c>
      <c r="K144" s="6">
        <v>38.539000000000001</v>
      </c>
      <c r="L1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3.1777939230389993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200</v>
      </c>
      <c r="H145" s="4">
        <v>10000</v>
      </c>
      <c r="I145" s="4">
        <f>tblSavedInsertSpeed[[#This Row],[Words Count]]*tblSavedInsertSpeed[[#This Row],[Word Length]]</f>
        <v>2000000</v>
      </c>
      <c r="J145" s="16">
        <v>0.53100000000000003</v>
      </c>
      <c r="K145" s="6">
        <v>0.17199999999999999</v>
      </c>
      <c r="L1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3.087209302325582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500</v>
      </c>
      <c r="H146" s="4">
        <v>10000</v>
      </c>
      <c r="I146" s="4">
        <f>tblSavedInsertSpeed[[#This Row],[Words Count]]*tblSavedInsertSpeed[[#This Row],[Word Length]]</f>
        <v>5000000</v>
      </c>
      <c r="J146" s="16">
        <v>3.4769999999999999</v>
      </c>
      <c r="K146" s="6">
        <v>1.07</v>
      </c>
      <c r="L1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3.2495327102803735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50000</v>
      </c>
      <c r="H147" s="4">
        <v>100</v>
      </c>
      <c r="I147" s="4">
        <f>tblSavedInsertSpeed[[#This Row],[Words Count]]*tblSavedInsertSpeed[[#This Row],[Word Length]]</f>
        <v>5000000</v>
      </c>
      <c r="J147" s="16">
        <v>350.91399999999999</v>
      </c>
      <c r="K147" s="6">
        <v>97</v>
      </c>
      <c r="L1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3.6176701030927836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</v>
      </c>
      <c r="H148" s="4">
        <v>1000000</v>
      </c>
      <c r="I148" s="4">
        <f>tblSavedInsertSpeed[[#This Row],[Words Count]]*tblSavedInsertSpeed[[#This Row],[Word Length]]</f>
        <v>10000000</v>
      </c>
      <c r="J148" s="16">
        <v>0.22700000000000001</v>
      </c>
      <c r="K148" s="6">
        <v>0.17199999999999999</v>
      </c>
      <c r="L1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1.3197674418604652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</v>
      </c>
      <c r="H149" s="4">
        <v>100000</v>
      </c>
      <c r="I149" s="4">
        <f>tblSavedInsertSpeed[[#This Row],[Words Count]]*tblSavedInsertSpeed[[#This Row],[Word Length]]</f>
        <v>10000000</v>
      </c>
      <c r="J149" s="16">
        <v>1.5389999999999999</v>
      </c>
      <c r="K149" s="6">
        <v>0.51600000000000001</v>
      </c>
      <c r="L1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2.9825581395348837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200</v>
      </c>
      <c r="H150" s="4">
        <v>50000</v>
      </c>
      <c r="I150" s="4">
        <f>tblSavedInsertSpeed[[#This Row],[Words Count]]*tblSavedInsertSpeed[[#This Row],[Word Length]]</f>
        <v>10000000</v>
      </c>
      <c r="J150" s="16">
        <v>3.0550000000000002</v>
      </c>
      <c r="K150" s="6">
        <v>0.91400000000000003</v>
      </c>
      <c r="L1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3.3424507658643328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500</v>
      </c>
      <c r="H151" s="4">
        <v>20000</v>
      </c>
      <c r="I151" s="4">
        <f>tblSavedInsertSpeed[[#This Row],[Words Count]]*tblSavedInsertSpeed[[#This Row],[Word Length]]</f>
        <v>10000000</v>
      </c>
      <c r="J151" s="16">
        <v>7.1950000000000003</v>
      </c>
      <c r="K151" s="6">
        <v>2.125</v>
      </c>
      <c r="L1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3.3858823529411768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1000</v>
      </c>
      <c r="H152" s="4">
        <v>10000</v>
      </c>
      <c r="I152" s="4">
        <f>tblSavedInsertSpeed[[#This Row],[Words Count]]*tblSavedInsertSpeed[[#This Row],[Word Length]]</f>
        <v>10000000</v>
      </c>
      <c r="J152" s="16">
        <v>13.938000000000001</v>
      </c>
      <c r="K152" s="6">
        <v>4.1020000000000003</v>
      </c>
      <c r="L1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3.3978547050219405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10000</v>
      </c>
      <c r="H153" s="4">
        <v>1000</v>
      </c>
      <c r="I153" s="4">
        <f>tblSavedInsertSpeed[[#This Row],[Words Count]]*tblSavedInsertSpeed[[#This Row],[Word Length]]</f>
        <v>10000000</v>
      </c>
      <c r="J153" s="16">
        <v>139.672</v>
      </c>
      <c r="K153" s="6">
        <v>39.905999999999999</v>
      </c>
      <c r="L1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3.5000250588883879</v>
      </c>
    </row>
  </sheetData>
  <conditionalFormatting sqref="L2:L153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{6D8A3813-25BB-4C4F-B2C2-5F2CA4F648CF}</x14:id>
        </ext>
      </extLst>
    </cfRule>
  </conditionalFormatting>
  <conditionalFormatting sqref="J2:K153">
    <cfRule type="dataBar" priority="3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{C7A2E40C-F0FA-4256-A831-8FFB04D30AB9}</x14:id>
        </ext>
      </extLst>
    </cfRule>
  </conditionalFormatting>
  <conditionalFormatting sqref="I2:I153">
    <cfRule type="cellIs" dxfId="10" priority="2" operator="greaterThan">
      <formula>2147483647</formula>
    </cfRule>
  </conditionalFormatting>
  <conditionalFormatting sqref="A2:A153">
    <cfRule type="colorScale" priority="1">
      <colorScale>
        <cfvo type="min"/>
        <cfvo type="max"/>
        <color rgb="FFFFEF9C"/>
        <color rgb="FF63BE7B"/>
      </colorScale>
    </cfRule>
  </conditionalFormatting>
  <dataValidations count="1">
    <dataValidation type="whole" allowBlank="1" showInputMessage="1" showErrorMessage="1" sqref="G2:H153" xr:uid="{DEA826E8-C089-4B2C-BA60-FD54012C1AB3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8A3813-25BB-4C4F-B2C2-5F2CA4F648CF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L2:L153</xm:sqref>
        </x14:conditionalFormatting>
        <x14:conditionalFormatting xmlns:xm="http://schemas.microsoft.com/office/excel/2006/main">
          <x14:cfRule type="dataBar" id="{C7A2E40C-F0FA-4256-A831-8FFB04D30AB9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J2:K153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Append_Live Speed Tests</vt:lpstr>
      <vt:lpstr>Append_Saved Results</vt:lpstr>
      <vt:lpstr>Insert_Live Speed Tests</vt:lpstr>
      <vt:lpstr>Insert_Saved Results</vt:lpstr>
      <vt:lpstr>'Append_Live Speed Tests'!Calculate</vt:lpstr>
      <vt:lpstr>'Insert_Live Speed Tests'!Calculate</vt:lpstr>
      <vt:lpstr>'Append_Live Speed Tests'!TestNoBuffer</vt:lpstr>
      <vt:lpstr>'Insert_Live Speed Tests'!TestNoCopyMemory</vt:lpstr>
      <vt:lpstr>'Append_Live Speed Tests'!TestWithBuffer</vt:lpstr>
      <vt:lpstr>'Insert_Live Speed Tests'!TestWithCopyMemory</vt:lpstr>
      <vt:lpstr>'Append_Live Speed Tests'!WordLength</vt:lpstr>
      <vt:lpstr>'Insert_Live Speed Tests'!WordLength</vt:lpstr>
      <vt:lpstr>'Append_Live Speed Tests'!WordsCount</vt:lpstr>
      <vt:lpstr>'Insert_Live Speed Tests'!WordsCount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Buse</dc:creator>
  <cp:lastModifiedBy>Buse, Cristian @ London HH</cp:lastModifiedBy>
  <dcterms:created xsi:type="dcterms:W3CDTF">2019-10-27T20:45:31Z</dcterms:created>
  <dcterms:modified xsi:type="dcterms:W3CDTF">2019-12-10T08:40:10Z</dcterms:modified>
</cp:coreProperties>
</file>