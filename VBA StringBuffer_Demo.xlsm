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721b14d8e66d7df/Proiecte/VBA-StringBuffer/"/>
    </mc:Choice>
  </mc:AlternateContent>
  <xr:revisionPtr revIDLastSave="43" documentId="13_ncr:1_{3E86BA0A-174B-4301-9F80-6E59BF4AEE80}" xr6:coauthVersionLast="46" xr6:coauthVersionMax="46" xr10:uidLastSave="{D380FDE4-268A-4D11-A69D-EB8C894CFF17}"/>
  <bookViews>
    <workbookView xWindow="28680" yWindow="-120" windowWidth="29040" windowHeight="15840" activeTab="1" xr2:uid="{04DA5080-C394-4507-A411-D47671B82712}"/>
  </bookViews>
  <sheets>
    <sheet name="Append_Live Speed Tests" sheetId="2" r:id="rId1"/>
    <sheet name="Append_Saved Results" sheetId="3" r:id="rId2"/>
  </sheets>
  <definedNames>
    <definedName name="Calculate" localSheetId="0">tblTestSpeedAppend[Select a Cell to Evaluate corresponding row]</definedName>
    <definedName name="TestNoBuffer" localSheetId="0">tblTestSpeedAppend[Time (seconds) to concatenate with no buffer]</definedName>
    <definedName name="TestWithBuffer" localSheetId="0">tblTestSpeedAppend[Time (seconds) to append with buffer]</definedName>
    <definedName name="WordLength" localSheetId="0">tblTestSpeedAppend[Word Length]</definedName>
    <definedName name="WordsCount" localSheetId="0">tblTestSpeedAppend[Words Count]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61" i="3" l="1"/>
  <c r="I161" i="3"/>
  <c r="L160" i="3"/>
  <c r="I160" i="3"/>
  <c r="L159" i="3"/>
  <c r="I159" i="3"/>
  <c r="L158" i="3"/>
  <c r="I158" i="3"/>
  <c r="L157" i="3"/>
  <c r="I157" i="3"/>
  <c r="L156" i="3"/>
  <c r="I156" i="3"/>
  <c r="L155" i="3"/>
  <c r="I155" i="3"/>
  <c r="L154" i="3"/>
  <c r="I154" i="3"/>
  <c r="L153" i="3"/>
  <c r="I153" i="3"/>
  <c r="L152" i="3"/>
  <c r="I152" i="3"/>
  <c r="L151" i="3"/>
  <c r="I151" i="3"/>
  <c r="L150" i="3"/>
  <c r="I150" i="3"/>
  <c r="L149" i="3"/>
  <c r="I149" i="3"/>
  <c r="L148" i="3"/>
  <c r="I148" i="3"/>
  <c r="L147" i="3"/>
  <c r="I147" i="3"/>
  <c r="L146" i="3"/>
  <c r="I146" i="3"/>
  <c r="L145" i="3"/>
  <c r="I145" i="3"/>
  <c r="L144" i="3"/>
  <c r="I144" i="3"/>
  <c r="L143" i="3"/>
  <c r="I143" i="3"/>
  <c r="L142" i="3"/>
  <c r="I142" i="3"/>
  <c r="L141" i="3"/>
  <c r="I141" i="3"/>
  <c r="L140" i="3"/>
  <c r="I140" i="3"/>
  <c r="L139" i="3"/>
  <c r="I139" i="3"/>
  <c r="L138" i="3"/>
  <c r="I138" i="3"/>
  <c r="L137" i="3"/>
  <c r="I137" i="3"/>
  <c r="L136" i="3"/>
  <c r="I136" i="3"/>
  <c r="L135" i="3"/>
  <c r="I135" i="3"/>
  <c r="L134" i="3"/>
  <c r="I134" i="3"/>
  <c r="L133" i="3"/>
  <c r="I133" i="3"/>
  <c r="L132" i="3"/>
  <c r="I132" i="3"/>
  <c r="L131" i="3"/>
  <c r="I131" i="3"/>
  <c r="L130" i="3"/>
  <c r="I130" i="3"/>
  <c r="L129" i="3"/>
  <c r="I129" i="3"/>
  <c r="L128" i="3"/>
  <c r="I128" i="3"/>
  <c r="L127" i="3"/>
  <c r="I127" i="3"/>
  <c r="L126" i="3"/>
  <c r="I126" i="3"/>
  <c r="L125" i="3"/>
  <c r="I125" i="3"/>
  <c r="L124" i="3"/>
  <c r="I124" i="3"/>
  <c r="L123" i="3"/>
  <c r="I123" i="3"/>
  <c r="L122" i="3"/>
  <c r="I122" i="3"/>
  <c r="L121" i="3"/>
  <c r="I121" i="3"/>
  <c r="L120" i="3"/>
  <c r="I120" i="3"/>
  <c r="L119" i="3"/>
  <c r="I119" i="3"/>
  <c r="L118" i="3"/>
  <c r="I118" i="3"/>
  <c r="L117" i="3"/>
  <c r="I117" i="3"/>
  <c r="L116" i="3"/>
  <c r="I116" i="3"/>
  <c r="L115" i="3"/>
  <c r="I115" i="3"/>
  <c r="L114" i="3"/>
  <c r="I114" i="3"/>
  <c r="L113" i="3"/>
  <c r="I113" i="3"/>
  <c r="L112" i="3"/>
  <c r="I112" i="3"/>
  <c r="L111" i="3"/>
  <c r="I111" i="3"/>
  <c r="L110" i="3"/>
  <c r="I110" i="3"/>
  <c r="L109" i="3"/>
  <c r="I109" i="3"/>
  <c r="L108" i="3"/>
  <c r="I108" i="3"/>
  <c r="L107" i="3"/>
  <c r="I107" i="3"/>
  <c r="L106" i="3"/>
  <c r="I106" i="3"/>
  <c r="L105" i="3"/>
  <c r="I105" i="3"/>
  <c r="L104" i="3"/>
  <c r="I104" i="3"/>
  <c r="L103" i="3"/>
  <c r="I103" i="3"/>
  <c r="L102" i="3"/>
  <c r="I102" i="3"/>
  <c r="L101" i="3"/>
  <c r="I101" i="3"/>
  <c r="L100" i="3"/>
  <c r="I100" i="3"/>
  <c r="L99" i="3"/>
  <c r="I99" i="3"/>
  <c r="L98" i="3"/>
  <c r="I98" i="3"/>
  <c r="L97" i="3"/>
  <c r="I97" i="3"/>
  <c r="L96" i="3"/>
  <c r="I96" i="3"/>
  <c r="L95" i="3"/>
  <c r="I95" i="3"/>
  <c r="L94" i="3"/>
  <c r="I94" i="3"/>
  <c r="L93" i="3"/>
  <c r="I93" i="3"/>
  <c r="L92" i="3"/>
  <c r="I92" i="3"/>
  <c r="L91" i="3"/>
  <c r="I91" i="3"/>
  <c r="L90" i="3"/>
  <c r="I90" i="3"/>
  <c r="L89" i="3"/>
  <c r="I89" i="3"/>
  <c r="L88" i="3"/>
  <c r="I88" i="3"/>
  <c r="L87" i="3"/>
  <c r="I87" i="3"/>
  <c r="L86" i="3"/>
  <c r="I86" i="3"/>
  <c r="L85" i="3"/>
  <c r="I85" i="3"/>
  <c r="L84" i="3"/>
  <c r="I84" i="3"/>
  <c r="L83" i="3"/>
  <c r="I83" i="3"/>
  <c r="L82" i="3"/>
  <c r="I82" i="3"/>
  <c r="L81" i="3"/>
  <c r="I81" i="3"/>
  <c r="L80" i="3"/>
  <c r="I80" i="3"/>
  <c r="L79" i="3"/>
  <c r="I79" i="3"/>
  <c r="L78" i="3"/>
  <c r="I78" i="3"/>
  <c r="L77" i="3"/>
  <c r="I77" i="3"/>
  <c r="L76" i="3"/>
  <c r="I76" i="3"/>
  <c r="L75" i="3"/>
  <c r="I75" i="3"/>
  <c r="L74" i="3"/>
  <c r="I74" i="3"/>
  <c r="L73" i="3"/>
  <c r="I73" i="3"/>
  <c r="L72" i="3"/>
  <c r="I72" i="3"/>
  <c r="L71" i="3"/>
  <c r="I71" i="3"/>
  <c r="L70" i="3"/>
  <c r="I70" i="3"/>
  <c r="L69" i="3"/>
  <c r="I69" i="3"/>
  <c r="L68" i="3"/>
  <c r="I68" i="3"/>
  <c r="L67" i="3"/>
  <c r="I67" i="3"/>
  <c r="L66" i="3"/>
  <c r="I66" i="3"/>
  <c r="L65" i="3"/>
  <c r="I65" i="3"/>
  <c r="L64" i="3"/>
  <c r="I64" i="3"/>
  <c r="L63" i="3"/>
  <c r="I63" i="3"/>
  <c r="L62" i="3"/>
  <c r="I62" i="3"/>
  <c r="L61" i="3"/>
  <c r="I61" i="3"/>
  <c r="L60" i="3"/>
  <c r="I60" i="3"/>
  <c r="L59" i="3"/>
  <c r="I59" i="3"/>
  <c r="L58" i="3"/>
  <c r="I58" i="3"/>
  <c r="L57" i="3"/>
  <c r="I57" i="3"/>
  <c r="L56" i="3"/>
  <c r="I56" i="3"/>
  <c r="L55" i="3"/>
  <c r="I55" i="3"/>
  <c r="L54" i="3"/>
  <c r="I54" i="3"/>
  <c r="L53" i="3"/>
  <c r="I53" i="3"/>
  <c r="L52" i="3"/>
  <c r="I52" i="3"/>
  <c r="L51" i="3"/>
  <c r="I51" i="3"/>
  <c r="L50" i="3"/>
  <c r="I50" i="3"/>
  <c r="L49" i="3"/>
  <c r="I49" i="3"/>
  <c r="L48" i="3"/>
  <c r="I48" i="3"/>
  <c r="L47" i="3"/>
  <c r="I47" i="3"/>
  <c r="L46" i="3"/>
  <c r="I46" i="3"/>
  <c r="L45" i="3"/>
  <c r="I45" i="3"/>
  <c r="L44" i="3"/>
  <c r="I44" i="3"/>
  <c r="L43" i="3"/>
  <c r="I43" i="3"/>
  <c r="L42" i="3"/>
  <c r="I42" i="3"/>
  <c r="L41" i="3"/>
  <c r="I41" i="3"/>
  <c r="L40" i="3"/>
  <c r="I40" i="3"/>
  <c r="L39" i="3"/>
  <c r="I39" i="3"/>
  <c r="L38" i="3"/>
  <c r="I38" i="3"/>
  <c r="L37" i="3"/>
  <c r="I37" i="3"/>
  <c r="L36" i="3"/>
  <c r="I36" i="3"/>
  <c r="L35" i="3"/>
  <c r="I35" i="3"/>
  <c r="L34" i="3"/>
  <c r="I34" i="3"/>
  <c r="L33" i="3"/>
  <c r="I33" i="3"/>
  <c r="L32" i="3"/>
  <c r="I32" i="3"/>
  <c r="L31" i="3"/>
  <c r="I31" i="3"/>
  <c r="L30" i="3"/>
  <c r="I30" i="3"/>
  <c r="L29" i="3"/>
  <c r="I29" i="3"/>
  <c r="L28" i="3"/>
  <c r="I28" i="3"/>
  <c r="L27" i="3"/>
  <c r="I27" i="3"/>
  <c r="L26" i="3"/>
  <c r="I26" i="3"/>
  <c r="L25" i="3"/>
  <c r="I25" i="3"/>
  <c r="L24" i="3"/>
  <c r="I24" i="3"/>
  <c r="L23" i="3"/>
  <c r="I23" i="3"/>
  <c r="L22" i="3"/>
  <c r="I22" i="3"/>
  <c r="L21" i="3"/>
  <c r="I21" i="3"/>
  <c r="L20" i="3"/>
  <c r="I20" i="3"/>
  <c r="L19" i="3"/>
  <c r="I19" i="3"/>
  <c r="L18" i="3"/>
  <c r="I18" i="3"/>
  <c r="L17" i="3"/>
  <c r="I17" i="3"/>
  <c r="L16" i="3"/>
  <c r="I16" i="3"/>
  <c r="L15" i="3"/>
  <c r="I15" i="3"/>
  <c r="L14" i="3"/>
  <c r="I14" i="3"/>
  <c r="L13" i="3"/>
  <c r="I13" i="3"/>
  <c r="L12" i="3"/>
  <c r="I12" i="3"/>
  <c r="L11" i="3"/>
  <c r="I11" i="3"/>
  <c r="L10" i="3"/>
  <c r="I10" i="3"/>
  <c r="L9" i="3"/>
  <c r="I9" i="3"/>
  <c r="L8" i="3"/>
  <c r="I8" i="3"/>
  <c r="L7" i="3"/>
  <c r="I7" i="3"/>
  <c r="L6" i="3"/>
  <c r="I6" i="3"/>
  <c r="L5" i="3"/>
  <c r="I5" i="3"/>
  <c r="L4" i="3"/>
  <c r="I4" i="3"/>
  <c r="L3" i="3"/>
  <c r="I3" i="3"/>
  <c r="L2" i="3"/>
  <c r="I2" i="3"/>
  <c r="F44" i="2"/>
  <c r="E44" i="2"/>
  <c r="G43" i="2"/>
  <c r="D43" i="2"/>
  <c r="C43" i="2"/>
  <c r="G42" i="2"/>
  <c r="D42" i="2"/>
  <c r="C42" i="2"/>
  <c r="G41" i="2"/>
  <c r="D41" i="2"/>
  <c r="C41" i="2"/>
  <c r="G40" i="2"/>
  <c r="D40" i="2"/>
  <c r="C40" i="2"/>
  <c r="G39" i="2"/>
  <c r="D39" i="2"/>
  <c r="C39" i="2"/>
  <c r="G38" i="2"/>
  <c r="D38" i="2"/>
  <c r="C38" i="2"/>
  <c r="G37" i="2"/>
  <c r="D37" i="2"/>
  <c r="C37" i="2"/>
  <c r="G36" i="2"/>
  <c r="D36" i="2"/>
  <c r="C36" i="2"/>
  <c r="G35" i="2"/>
  <c r="D35" i="2"/>
  <c r="C35" i="2"/>
  <c r="G34" i="2"/>
  <c r="D34" i="2"/>
  <c r="C34" i="2"/>
  <c r="G33" i="2"/>
  <c r="D33" i="2"/>
  <c r="C33" i="2"/>
  <c r="G32" i="2"/>
  <c r="D32" i="2"/>
  <c r="C32" i="2"/>
  <c r="G31" i="2"/>
  <c r="D31" i="2"/>
  <c r="C31" i="2"/>
  <c r="G30" i="2"/>
  <c r="D30" i="2"/>
  <c r="C30" i="2"/>
  <c r="G29" i="2"/>
  <c r="D29" i="2"/>
  <c r="C29" i="2"/>
  <c r="G28" i="2"/>
  <c r="D28" i="2"/>
  <c r="C28" i="2"/>
  <c r="G27" i="2"/>
  <c r="D27" i="2"/>
  <c r="C27" i="2"/>
  <c r="G26" i="2"/>
  <c r="D26" i="2"/>
  <c r="C26" i="2"/>
  <c r="G25" i="2"/>
  <c r="D25" i="2"/>
  <c r="C25" i="2"/>
  <c r="G24" i="2"/>
  <c r="D24" i="2"/>
  <c r="C24" i="2"/>
  <c r="G23" i="2"/>
  <c r="D23" i="2"/>
  <c r="C23" i="2"/>
  <c r="G22" i="2"/>
  <c r="D22" i="2"/>
  <c r="C22" i="2"/>
  <c r="G21" i="2"/>
  <c r="D21" i="2"/>
  <c r="C21" i="2"/>
  <c r="G20" i="2"/>
  <c r="D20" i="2"/>
  <c r="C20" i="2"/>
  <c r="G19" i="2"/>
  <c r="D19" i="2"/>
  <c r="C19" i="2"/>
  <c r="G18" i="2"/>
  <c r="D18" i="2"/>
  <c r="C18" i="2"/>
  <c r="G17" i="2"/>
  <c r="D17" i="2"/>
  <c r="C17" i="2"/>
  <c r="G16" i="2"/>
  <c r="D16" i="2"/>
  <c r="C16" i="2"/>
  <c r="G15" i="2"/>
  <c r="D15" i="2"/>
  <c r="C15" i="2"/>
  <c r="G14" i="2"/>
  <c r="D14" i="2"/>
  <c r="C14" i="2"/>
  <c r="G13" i="2"/>
  <c r="D13" i="2"/>
  <c r="C13" i="2"/>
  <c r="G12" i="2"/>
  <c r="D12" i="2"/>
  <c r="C12" i="2"/>
  <c r="G11" i="2"/>
  <c r="D11" i="2"/>
  <c r="C11" i="2"/>
  <c r="G10" i="2"/>
  <c r="D10" i="2"/>
  <c r="C10" i="2"/>
  <c r="G9" i="2"/>
  <c r="D9" i="2"/>
  <c r="C9" i="2"/>
  <c r="G8" i="2"/>
  <c r="D8" i="2"/>
  <c r="C8" i="2"/>
  <c r="G7" i="2"/>
  <c r="D7" i="2"/>
  <c r="C7" i="2"/>
  <c r="G6" i="2"/>
  <c r="D6" i="2"/>
  <c r="C6" i="2"/>
  <c r="G5" i="2"/>
  <c r="D5" i="2"/>
  <c r="C5" i="2"/>
  <c r="G4" i="2"/>
  <c r="D4" i="2"/>
  <c r="A1" i="2" s="1"/>
  <c r="C4" i="2"/>
</calcChain>
</file>

<file path=xl/sharedStrings.xml><?xml version="1.0" encoding="utf-8"?>
<sst xmlns="http://schemas.openxmlformats.org/spreadsheetml/2006/main" count="821" uniqueCount="27">
  <si>
    <t>Add new rows to table and change the WordsCount and WordLength values, as needed!</t>
  </si>
  <si>
    <t>Words Count</t>
  </si>
  <si>
    <t>Word Length</t>
  </si>
  <si>
    <t>Total Characters</t>
  </si>
  <si>
    <t>Select a Cell to Evaluate corresponding row</t>
  </si>
  <si>
    <t>Time (seconds) to concatenate with no buffer</t>
  </si>
  <si>
    <t>Time (seconds) to append with buffer</t>
  </si>
  <si>
    <t>Times faster with buffer</t>
  </si>
  <si>
    <t>Total</t>
  </si>
  <si>
    <t>Configuration</t>
  </si>
  <si>
    <t>Operating System</t>
  </si>
  <si>
    <t>Platform</t>
  </si>
  <si>
    <t>Office Platform</t>
  </si>
  <si>
    <t>RAM</t>
  </si>
  <si>
    <t>Processor</t>
  </si>
  <si>
    <t>Windows 10</t>
  </si>
  <si>
    <t>x64</t>
  </si>
  <si>
    <t>x32</t>
  </si>
  <si>
    <t>32GB</t>
  </si>
  <si>
    <t>Intel Core i7 @2.9 GHz</t>
  </si>
  <si>
    <t>8GB</t>
  </si>
  <si>
    <t>Intel Core i7 @2.5 GHz</t>
  </si>
  <si>
    <t>Mac OS 10</t>
  </si>
  <si>
    <t>Intel Core i5 @2.3 GHz</t>
  </si>
  <si>
    <t>Windows 7</t>
  </si>
  <si>
    <t>6GB</t>
  </si>
  <si>
    <t>Intel Xeon E5 @2.4 GHz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</si>
</sst>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&quot;x&quot;0.00;&quot;x&quot;0.00;&quot;=&quot;"/>
    <numFmt numFmtId="166" formatCode="#,##0.0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3" fontId="0" fillId="0" borderId="0" xfId="1" applyFont="1"/>
    <xf numFmtId="3" fontId="3" fillId="0" borderId="0" xfId="2" applyNumberFormat="1" applyAlignment="1">
      <alignment horizontal="center"/>
    </xf>
    <xf numFmtId="164" fontId="0" fillId="0" borderId="0" xfId="3" applyFont="1"/>
    <xf numFmtId="165" fontId="0" fillId="0" borderId="0" xfId="1" applyNumberFormat="1" applyFont="1" applyAlignment="1"/>
    <xf numFmtId="3" fontId="3" fillId="0" borderId="0" xfId="2" applyNumberFormat="1" applyFill="1" applyAlignment="1">
      <alignment horizontal="center"/>
    </xf>
    <xf numFmtId="0" fontId="0" fillId="0" borderId="0" xfId="0" applyNumberFormat="1"/>
    <xf numFmtId="0" fontId="1" fillId="0" borderId="0" xfId="0" applyNumberFormat="1" applyFont="1" applyAlignment="1">
      <alignment horizontal="center"/>
    </xf>
    <xf numFmtId="165" fontId="0" fillId="0" borderId="0" xfId="0" applyNumberFormat="1" applyAlignment="1"/>
    <xf numFmtId="164" fontId="0" fillId="0" borderId="0" xfId="0" applyNumberFormat="1"/>
    <xf numFmtId="166" fontId="0" fillId="0" borderId="0" xfId="3" applyNumberFormat="1" applyFont="1"/>
    <xf numFmtId="164" fontId="0" fillId="0" borderId="0" xfId="3" applyFont="1" applyAlignment="1">
      <alignment horizontal="center" vertical="center" wrapText="1"/>
    </xf>
    <xf numFmtId="3" fontId="0" fillId="0" borderId="1" xfId="1" applyFont="1" applyBorder="1"/>
    <xf numFmtId="164" fontId="0" fillId="0" borderId="1" xfId="3" applyFont="1" applyBorder="1"/>
    <xf numFmtId="165" fontId="0" fillId="0" borderId="1" xfId="1" applyNumberFormat="1" applyFont="1" applyBorder="1" applyAlignment="1"/>
  </cellXfs>
  <cellStyles count="4">
    <cellStyle name="#,##0" xfId="1" xr:uid="{FEA3DA0F-3C68-43B2-8E62-95445A1F3DB5}"/>
    <cellStyle name="#,##0.000" xfId="3" xr:uid="{1A052769-3E0F-4B23-B012-1DBBE2314896}"/>
    <cellStyle name="Hyperlink" xfId="2" builtinId="8"/>
    <cellStyle name="Normal" xfId="0" builtinId="0"/>
  </cellStyles>
  <dxfs count="22"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0155A2-F0A3-4937-85CA-C931D9B314CE}" name="tblTestSpeedAppend" displayName="tblTestSpeedAppend" ref="A3:G44" totalsRowCount="1" headerRowDxfId="20">
  <autoFilter ref="A3:G43" xr:uid="{00000000-0009-0000-0100-000001000000}"/>
  <sortState xmlns:xlrd2="http://schemas.microsoft.com/office/spreadsheetml/2017/richdata2" ref="A4:G43">
    <sortCondition ref="C3:C43"/>
  </sortState>
  <tableColumns count="7">
    <tableColumn id="1" xr3:uid="{5E030163-1290-4D48-8396-EA0BB5895741}" name="Words Count" totalsRowLabel="Total" totalsRowDxfId="19" dataCellStyle="#,##0"/>
    <tableColumn id="2" xr3:uid="{5FC82D29-17CD-452C-9375-076A8783F32F}" name="Word Length" totalsRowDxfId="18" dataCellStyle="#,##0"/>
    <tableColumn id="6" xr3:uid="{1B42AFC7-3211-48E7-8E28-185BC36F9FFE}" name="Total Characters" totalsRowDxfId="17" dataCellStyle="#,##0">
      <calculatedColumnFormula>tblTestSpeedAppend[[#This Row],[Words Count]]*tblTestSpeedAppend[[#This Row],[Word Length]]</calculatedColumnFormula>
    </tableColumn>
    <tableColumn id="8" xr3:uid="{1CE745E6-4647-4B1B-8EDD-C93FF782ABD9}" name="Select a Cell to Evaluate corresponding row" dataDxfId="16" totalsRowDxfId="15" dataCellStyle="Hyperlink">
      <calculatedColumnFormula>HYPERLINK("","Select Here")</calculatedColumnFormula>
    </tableColumn>
    <tableColumn id="3" xr3:uid="{ED664407-11A8-4181-9D25-78A950D769A8}" name="Time (seconds) to concatenate with no buffer" totalsRowFunction="sum" totalsRowDxfId="14" totalsRowCellStyle="#,##0.000"/>
    <tableColumn id="4" xr3:uid="{C6F5BFD4-2B6C-4249-96FF-A936D60928CB}" name="Time (seconds) to append with buffer" totalsRowFunction="sum" totalsRowDxfId="13" totalsRowCellStyle="#,##0.000"/>
    <tableColumn id="5" xr3:uid="{D5AD01FC-D2B6-4DB7-8F2D-0CC362D8537A}" name="Times faster with buffer" dataDxfId="12" totalsRowDxfId="11" dataCellStyle="#,##0">
      <calculatedColumnFormula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CE6B50-7780-4422-A017-7D20996ED572}" name="tblSavedAppendSpeed" displayName="tblSavedAppendSpeed" ref="A1:L161" headerRowDxfId="9">
  <autoFilter ref="A1:L161" xr:uid="{CC37F6BD-E38D-4D7D-BD8B-0C228C04BDDA}"/>
  <tableColumns count="12">
    <tableColumn id="11" xr3:uid="{43F64AFA-E5B3-4100-89AD-0A6929373DE0}" name="Configuration"/>
    <tableColumn id="7" xr3:uid="{AD5C7BC6-6C7D-4B95-A49C-C56239285B23}" name="Operating System"/>
    <tableColumn id="8" xr3:uid="{9A513792-D8CA-4336-99B3-D9DDEFA67711}" name="Platform"/>
    <tableColumn id="9" xr3:uid="{3003E9DD-8DD8-4FDC-A9CA-FEA4188F3B24}" name="Office Platform"/>
    <tableColumn id="10" xr3:uid="{B04676FD-F821-4A82-8816-3860A6B46696}" name="RAM"/>
    <tableColumn id="12" xr3:uid="{0A504D26-1674-4F8C-805D-354C0DE4ACAF}" name="Processor"/>
    <tableColumn id="1" xr3:uid="{40638F49-DBA0-4DEC-8F68-1F7B4CFF5361}" name="Words Count" totalsRowLabel="Total" dataDxfId="8" totalsRowDxfId="7" dataCellStyle="#,##0"/>
    <tableColumn id="2" xr3:uid="{9AE4987F-D35F-4F5B-AA63-3C532671C046}" name="Word Length" totalsRowDxfId="6" dataCellStyle="#,##0"/>
    <tableColumn id="6" xr3:uid="{632E5B8F-FC8D-40A5-9AAE-76A423C5FD8D}" name="Total Characters" totalsRowDxfId="5" dataCellStyle="#,##0">
      <calculatedColumnFormula>tblSavedAppendSpeed[[#This Row],[Words Count]]*tblSavedAppendSpeed[[#This Row],[Word Length]]</calculatedColumnFormula>
    </tableColumn>
    <tableColumn id="3" xr3:uid="{875EF7F5-7FB3-4136-992E-E8FF8D05D637}" name="Time (seconds) to concatenate with no buffer" totalsRowFunction="sum" dataDxfId="4" totalsRowDxfId="3" dataCellStyle="#,##0.000" totalsRowCellStyle="#,##0.000"/>
    <tableColumn id="4" xr3:uid="{3846407E-05F1-4AF9-BAC6-B140529EFE85}" name="Time (seconds) to append with buffer" totalsRowFunction="sum" totalsRowDxfId="2" dataCellStyle="#,##0.000" totalsRowCellStyle="#,##0.000"/>
    <tableColumn id="5" xr3:uid="{FCB25127-964E-4C39-BCCB-76172872961F}" name="Times faster with buffer" dataDxfId="1" totalsRowDxfId="0" dataCellStyle="#,##0">
      <calculatedColumnFormula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65E1-2E5E-4D15-AB0B-EB8CF98D1E5B}">
  <sheetPr codeName="Sheet2">
    <tabColor theme="9"/>
  </sheetPr>
  <dimension ref="A1:L46"/>
  <sheetViews>
    <sheetView workbookViewId="0">
      <pane ySplit="3" topLeftCell="A19" activePane="bottomLeft" state="frozen"/>
      <selection activeCell="E30" sqref="E30:F30"/>
      <selection pane="bottomLeft"/>
    </sheetView>
  </sheetViews>
  <sheetFormatPr defaultColWidth="8.85546875" defaultRowHeight="15" x14ac:dyDescent="0.25"/>
  <cols>
    <col min="1" max="2" width="11.42578125" bestFit="1" customWidth="1"/>
    <col min="3" max="3" width="14.85546875" bestFit="1" customWidth="1"/>
    <col min="4" max="4" width="27" bestFit="1" customWidth="1"/>
    <col min="5" max="5" width="18.42578125" customWidth="1"/>
    <col min="6" max="6" width="17" customWidth="1"/>
    <col min="7" max="7" width="17.42578125" customWidth="1"/>
  </cols>
  <sheetData>
    <row r="1" spans="1:7" ht="15.75" x14ac:dyDescent="0.25">
      <c r="A1" s="1" t="str">
        <f>"Just select any cell in range "&amp;ADDRESS(ROW(INDEX(tblTestSpeedAppend[Select a Cell to Evaluate corresponding row],1)),COLUMN(INDEX(tblTestSpeedAppend[Select a Cell to Evaluate corresponding row],1)))&amp;":"&amp;ADDRESS(ROW(INDEX(tblTestSpeedAppend[Select a Cell to Evaluate corresponding row],COUNTA(tblTestSpeedAppend[Select a Cell to Evaluate corresponding row])+COUNTBLANK(tblTestSpeedAppend[Select a Cell to Evaluate corresponding row]))),COLUMN(INDEX(tblTestSpeedAppend[Select a Cell to Evaluate corresponding row],1)))&amp;" in order to trigger the Worksheet_SelectionChange Event which will run the 2 timing procedures!"</f>
        <v>Just select any cell in range $D$4:$D$43 in order to trigger the Worksheet_SelectionChange Event which will run the 2 timing procedures!</v>
      </c>
    </row>
    <row r="2" spans="1:7" ht="15.75" x14ac:dyDescent="0.25">
      <c r="A2" s="1" t="s">
        <v>0</v>
      </c>
    </row>
    <row r="3" spans="1:7" ht="43.5" customHeight="1" x14ac:dyDescent="0.25">
      <c r="A3" s="2" t="s">
        <v>1</v>
      </c>
      <c r="B3" s="2" t="s">
        <v>2</v>
      </c>
      <c r="C3" s="2" t="s">
        <v>3</v>
      </c>
      <c r="D3" s="3" t="s">
        <v>4</v>
      </c>
      <c r="E3" s="2" t="s">
        <v>5</v>
      </c>
      <c r="F3" s="2" t="s">
        <v>6</v>
      </c>
      <c r="G3" s="2" t="s">
        <v>7</v>
      </c>
    </row>
    <row r="4" spans="1:7" x14ac:dyDescent="0.25">
      <c r="A4" s="4">
        <v>10</v>
      </c>
      <c r="B4" s="4">
        <v>1000</v>
      </c>
      <c r="C4" s="4">
        <f>tblTestSpeedAppend[[#This Row],[Words Count]]*tblTestSpeedAppend[[#This Row],[Word Length]]</f>
        <v>10000</v>
      </c>
      <c r="D4" s="5" t="str">
        <f t="shared" ref="D4:D43" si="0">HYPERLINK("","Select Here")</f>
        <v>Select Here</v>
      </c>
      <c r="E4" s="6"/>
      <c r="F4" s="6"/>
      <c r="G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5" spans="1:7" x14ac:dyDescent="0.25">
      <c r="A5" s="4">
        <v>100</v>
      </c>
      <c r="B5" s="4">
        <v>100</v>
      </c>
      <c r="C5" s="4">
        <f>tblTestSpeedAppend[[#This Row],[Words Count]]*tblTestSpeedAppend[[#This Row],[Word Length]]</f>
        <v>10000</v>
      </c>
      <c r="D5" s="5" t="str">
        <f t="shared" si="0"/>
        <v>Select Here</v>
      </c>
      <c r="E5" s="6"/>
      <c r="F5" s="6"/>
      <c r="G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6" spans="1:7" x14ac:dyDescent="0.25">
      <c r="A6" s="4">
        <v>1000</v>
      </c>
      <c r="B6" s="4">
        <v>10</v>
      </c>
      <c r="C6" s="4">
        <f>tblTestSpeedAppend[[#This Row],[Words Count]]*tblTestSpeedAppend[[#This Row],[Word Length]]</f>
        <v>10000</v>
      </c>
      <c r="D6" s="5" t="str">
        <f t="shared" si="0"/>
        <v>Select Here</v>
      </c>
      <c r="E6" s="6"/>
      <c r="F6" s="6"/>
      <c r="G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7" spans="1:7" x14ac:dyDescent="0.25">
      <c r="A7" s="4">
        <v>2000</v>
      </c>
      <c r="B7" s="4">
        <v>5</v>
      </c>
      <c r="C7" s="4">
        <f>tblTestSpeedAppend[[#This Row],[Words Count]]*tblTestSpeedAppend[[#This Row],[Word Length]]</f>
        <v>10000</v>
      </c>
      <c r="D7" s="5" t="str">
        <f t="shared" si="0"/>
        <v>Select Here</v>
      </c>
      <c r="E7" s="6"/>
      <c r="F7" s="6"/>
      <c r="G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8" spans="1:7" x14ac:dyDescent="0.25">
      <c r="A8" s="4">
        <v>10000</v>
      </c>
      <c r="B8" s="4">
        <v>1</v>
      </c>
      <c r="C8" s="4">
        <f>tblTestSpeedAppend[[#This Row],[Words Count]]*tblTestSpeedAppend[[#This Row],[Word Length]]</f>
        <v>10000</v>
      </c>
      <c r="D8" s="5" t="str">
        <f t="shared" si="0"/>
        <v>Select Here</v>
      </c>
      <c r="E8" s="6"/>
      <c r="F8" s="6"/>
      <c r="G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9" spans="1:7" x14ac:dyDescent="0.25">
      <c r="A9" s="4">
        <v>200</v>
      </c>
      <c r="B9" s="4">
        <v>100</v>
      </c>
      <c r="C9" s="4">
        <f>tblTestSpeedAppend[[#This Row],[Words Count]]*tblTestSpeedAppend[[#This Row],[Word Length]]</f>
        <v>20000</v>
      </c>
      <c r="D9" s="5" t="str">
        <f t="shared" si="0"/>
        <v>Select Here</v>
      </c>
      <c r="E9" s="6"/>
      <c r="F9" s="6"/>
      <c r="G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0" spans="1:7" x14ac:dyDescent="0.25">
      <c r="A10" s="4">
        <v>20000</v>
      </c>
      <c r="B10" s="4">
        <v>1</v>
      </c>
      <c r="C10" s="4">
        <f>tblTestSpeedAppend[[#This Row],[Words Count]]*tblTestSpeedAppend[[#This Row],[Word Length]]</f>
        <v>20000</v>
      </c>
      <c r="D10" s="8" t="str">
        <f t="shared" si="0"/>
        <v>Select Here</v>
      </c>
      <c r="E10" s="6"/>
      <c r="F10" s="6"/>
      <c r="G1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1" spans="1:7" x14ac:dyDescent="0.25">
      <c r="A11" s="4">
        <v>500</v>
      </c>
      <c r="B11" s="4">
        <v>100</v>
      </c>
      <c r="C11" s="4">
        <f>tblTestSpeedAppend[[#This Row],[Words Count]]*tblTestSpeedAppend[[#This Row],[Word Length]]</f>
        <v>50000</v>
      </c>
      <c r="D11" s="5" t="str">
        <f t="shared" si="0"/>
        <v>Select Here</v>
      </c>
      <c r="E11" s="6"/>
      <c r="F11" s="6"/>
      <c r="G1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2" spans="1:7" x14ac:dyDescent="0.25">
      <c r="A12" s="4">
        <v>5000</v>
      </c>
      <c r="B12" s="4">
        <v>10</v>
      </c>
      <c r="C12" s="4">
        <f>tblTestSpeedAppend[[#This Row],[Words Count]]*tblTestSpeedAppend[[#This Row],[Word Length]]</f>
        <v>50000</v>
      </c>
      <c r="D12" s="5" t="str">
        <f t="shared" si="0"/>
        <v>Select Here</v>
      </c>
      <c r="E12" s="6"/>
      <c r="F12" s="6"/>
      <c r="G1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3" spans="1:7" x14ac:dyDescent="0.25">
      <c r="A13" s="4">
        <v>10000</v>
      </c>
      <c r="B13" s="4">
        <v>5</v>
      </c>
      <c r="C13" s="4">
        <f>tblTestSpeedAppend[[#This Row],[Words Count]]*tblTestSpeedAppend[[#This Row],[Word Length]]</f>
        <v>50000</v>
      </c>
      <c r="D13" s="5" t="str">
        <f t="shared" si="0"/>
        <v>Select Here</v>
      </c>
      <c r="E13" s="6"/>
      <c r="F13" s="6"/>
      <c r="G1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4" spans="1:7" x14ac:dyDescent="0.25">
      <c r="A14" s="4">
        <v>50000</v>
      </c>
      <c r="B14" s="4">
        <v>1</v>
      </c>
      <c r="C14" s="4">
        <f>tblTestSpeedAppend[[#This Row],[Words Count]]*tblTestSpeedAppend[[#This Row],[Word Length]]</f>
        <v>50000</v>
      </c>
      <c r="D14" s="8" t="str">
        <f t="shared" si="0"/>
        <v>Select Here</v>
      </c>
      <c r="E14" s="6"/>
      <c r="F14" s="6"/>
      <c r="G1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5" spans="1:7" x14ac:dyDescent="0.25">
      <c r="A15" s="4">
        <v>10</v>
      </c>
      <c r="B15" s="4">
        <v>10000</v>
      </c>
      <c r="C15" s="4">
        <f>tblTestSpeedAppend[[#This Row],[Words Count]]*tblTestSpeedAppend[[#This Row],[Word Length]]</f>
        <v>100000</v>
      </c>
      <c r="D15" s="5" t="str">
        <f t="shared" si="0"/>
        <v>Select Here</v>
      </c>
      <c r="E15" s="6"/>
      <c r="F15" s="6"/>
      <c r="G1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6" spans="1:7" x14ac:dyDescent="0.25">
      <c r="A16" s="4">
        <v>100</v>
      </c>
      <c r="B16" s="4">
        <v>1000</v>
      </c>
      <c r="C16" s="4">
        <f>tblTestSpeedAppend[[#This Row],[Words Count]]*tblTestSpeedAppend[[#This Row],[Word Length]]</f>
        <v>100000</v>
      </c>
      <c r="D16" s="5" t="str">
        <f t="shared" si="0"/>
        <v>Select Here</v>
      </c>
      <c r="E16" s="6"/>
      <c r="F16" s="6"/>
      <c r="G1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7" spans="1:7" x14ac:dyDescent="0.25">
      <c r="A17" s="4">
        <v>1000</v>
      </c>
      <c r="B17" s="4">
        <v>100</v>
      </c>
      <c r="C17" s="4">
        <f>tblTestSpeedAppend[[#This Row],[Words Count]]*tblTestSpeedAppend[[#This Row],[Word Length]]</f>
        <v>100000</v>
      </c>
      <c r="D17" s="5" t="str">
        <f t="shared" si="0"/>
        <v>Select Here</v>
      </c>
      <c r="E17" s="6"/>
      <c r="F17" s="6"/>
      <c r="G1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8" spans="1:7" x14ac:dyDescent="0.25">
      <c r="A18" s="4">
        <v>10000</v>
      </c>
      <c r="B18" s="4">
        <v>10</v>
      </c>
      <c r="C18" s="4">
        <f>tblTestSpeedAppend[[#This Row],[Words Count]]*tblTestSpeedAppend[[#This Row],[Word Length]]</f>
        <v>100000</v>
      </c>
      <c r="D18" s="5" t="str">
        <f t="shared" si="0"/>
        <v>Select Here</v>
      </c>
      <c r="E18" s="6"/>
      <c r="F18" s="6"/>
      <c r="G1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9" spans="1:7" x14ac:dyDescent="0.25">
      <c r="A19" s="4">
        <v>20000</v>
      </c>
      <c r="B19" s="4">
        <v>5</v>
      </c>
      <c r="C19" s="4">
        <f>tblTestSpeedAppend[[#This Row],[Words Count]]*tblTestSpeedAppend[[#This Row],[Word Length]]</f>
        <v>100000</v>
      </c>
      <c r="D19" s="5" t="str">
        <f t="shared" si="0"/>
        <v>Select Here</v>
      </c>
      <c r="E19" s="6"/>
      <c r="F19" s="6"/>
      <c r="G1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0" spans="1:7" x14ac:dyDescent="0.25">
      <c r="A20" s="4">
        <v>100000</v>
      </c>
      <c r="B20" s="4">
        <v>1</v>
      </c>
      <c r="C20" s="4">
        <f>tblTestSpeedAppend[[#This Row],[Words Count]]*tblTestSpeedAppend[[#This Row],[Word Length]]</f>
        <v>100000</v>
      </c>
      <c r="D20" s="5" t="str">
        <f t="shared" si="0"/>
        <v>Select Here</v>
      </c>
      <c r="E20" s="6"/>
      <c r="F20" s="6"/>
      <c r="G2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1" spans="1:7" x14ac:dyDescent="0.25">
      <c r="A21" s="4">
        <v>200</v>
      </c>
      <c r="B21" s="4">
        <v>1000</v>
      </c>
      <c r="C21" s="4">
        <f>tblTestSpeedAppend[[#This Row],[Words Count]]*tblTestSpeedAppend[[#This Row],[Word Length]]</f>
        <v>200000</v>
      </c>
      <c r="D21" s="5" t="str">
        <f t="shared" si="0"/>
        <v>Select Here</v>
      </c>
      <c r="E21" s="6"/>
      <c r="F21" s="6"/>
      <c r="G2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2" spans="1:7" x14ac:dyDescent="0.25">
      <c r="A22" s="4">
        <v>100000</v>
      </c>
      <c r="B22" s="4">
        <v>2</v>
      </c>
      <c r="C22" s="4">
        <f>tblTestSpeedAppend[[#This Row],[Words Count]]*tblTestSpeedAppend[[#This Row],[Word Length]]</f>
        <v>200000</v>
      </c>
      <c r="D22" s="5" t="str">
        <f t="shared" si="0"/>
        <v>Select Here</v>
      </c>
      <c r="E22" s="6"/>
      <c r="F22" s="6"/>
      <c r="G2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3" spans="1:7" x14ac:dyDescent="0.25">
      <c r="A23" s="4">
        <v>200000</v>
      </c>
      <c r="B23" s="4">
        <v>1</v>
      </c>
      <c r="C23" s="4">
        <f>tblTestSpeedAppend[[#This Row],[Words Count]]*tblTestSpeedAppend[[#This Row],[Word Length]]</f>
        <v>200000</v>
      </c>
      <c r="D23" s="5" t="str">
        <f t="shared" si="0"/>
        <v>Select Here</v>
      </c>
      <c r="E23" s="6"/>
      <c r="F23" s="6"/>
      <c r="G2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4" spans="1:7" x14ac:dyDescent="0.25">
      <c r="A24" s="4">
        <v>50000</v>
      </c>
      <c r="B24" s="4">
        <v>5</v>
      </c>
      <c r="C24" s="4">
        <f>tblTestSpeedAppend[[#This Row],[Words Count]]*tblTestSpeedAppend[[#This Row],[Word Length]]</f>
        <v>250000</v>
      </c>
      <c r="D24" s="5" t="str">
        <f t="shared" si="0"/>
        <v>Select Here</v>
      </c>
      <c r="E24" s="6"/>
      <c r="F24" s="6"/>
      <c r="G2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5" spans="1:7" x14ac:dyDescent="0.25">
      <c r="A25" s="4">
        <v>30000</v>
      </c>
      <c r="B25" s="4">
        <v>10</v>
      </c>
      <c r="C25" s="4">
        <f>tblTestSpeedAppend[[#This Row],[Words Count]]*tblTestSpeedAppend[[#This Row],[Word Length]]</f>
        <v>300000</v>
      </c>
      <c r="D25" s="5" t="str">
        <f t="shared" si="0"/>
        <v>Select Here</v>
      </c>
      <c r="E25" s="6"/>
      <c r="F25" s="6"/>
      <c r="G2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6" spans="1:7" x14ac:dyDescent="0.25">
      <c r="A26" s="4">
        <v>500</v>
      </c>
      <c r="B26" s="4">
        <v>1000</v>
      </c>
      <c r="C26" s="4">
        <f>tblTestSpeedAppend[[#This Row],[Words Count]]*tblTestSpeedAppend[[#This Row],[Word Length]]</f>
        <v>500000</v>
      </c>
      <c r="D26" s="5" t="str">
        <f t="shared" si="0"/>
        <v>Select Here</v>
      </c>
      <c r="E26" s="6"/>
      <c r="F26" s="6"/>
      <c r="G2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7" spans="1:7" x14ac:dyDescent="0.25">
      <c r="A27" s="4">
        <v>50000</v>
      </c>
      <c r="B27" s="4">
        <v>10</v>
      </c>
      <c r="C27" s="4">
        <f>tblTestSpeedAppend[[#This Row],[Words Count]]*tblTestSpeedAppend[[#This Row],[Word Length]]</f>
        <v>500000</v>
      </c>
      <c r="D27" s="5" t="str">
        <f t="shared" si="0"/>
        <v>Select Here</v>
      </c>
      <c r="E27" s="6"/>
      <c r="F27" s="6"/>
      <c r="G2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8" spans="1:7" x14ac:dyDescent="0.25">
      <c r="A28" s="4">
        <v>100000</v>
      </c>
      <c r="B28" s="4">
        <v>5</v>
      </c>
      <c r="C28" s="4">
        <f>tblTestSpeedAppend[[#This Row],[Words Count]]*tblTestSpeedAppend[[#This Row],[Word Length]]</f>
        <v>500000</v>
      </c>
      <c r="D28" s="5" t="str">
        <f t="shared" si="0"/>
        <v>Select Here</v>
      </c>
      <c r="E28" s="6"/>
      <c r="F28" s="6"/>
      <c r="G2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9" spans="1:7" x14ac:dyDescent="0.25">
      <c r="A29" s="4">
        <v>100</v>
      </c>
      <c r="B29" s="4">
        <v>10000</v>
      </c>
      <c r="C29" s="4">
        <f>tblTestSpeedAppend[[#This Row],[Words Count]]*tblTestSpeedAppend[[#This Row],[Word Length]]</f>
        <v>1000000</v>
      </c>
      <c r="D29" s="5" t="str">
        <f t="shared" si="0"/>
        <v>Select Here</v>
      </c>
      <c r="E29" s="6"/>
      <c r="F29" s="6"/>
      <c r="G2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0" spans="1:7" x14ac:dyDescent="0.25">
      <c r="A30" s="4">
        <v>1000</v>
      </c>
      <c r="B30" s="4">
        <v>1000</v>
      </c>
      <c r="C30" s="4">
        <f>tblTestSpeedAppend[[#This Row],[Words Count]]*tblTestSpeedAppend[[#This Row],[Word Length]]</f>
        <v>1000000</v>
      </c>
      <c r="D30" s="5" t="str">
        <f t="shared" si="0"/>
        <v>Select Here</v>
      </c>
      <c r="E30" s="6"/>
      <c r="F30" s="6"/>
      <c r="G3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1" spans="1:7" x14ac:dyDescent="0.25">
      <c r="A31" s="4">
        <v>10000</v>
      </c>
      <c r="B31" s="4">
        <v>100</v>
      </c>
      <c r="C31" s="4">
        <f>tblTestSpeedAppend[[#This Row],[Words Count]]*tblTestSpeedAppend[[#This Row],[Word Length]]</f>
        <v>1000000</v>
      </c>
      <c r="D31" s="5" t="str">
        <f t="shared" si="0"/>
        <v>Select Here</v>
      </c>
      <c r="E31" s="6"/>
      <c r="F31" s="6"/>
      <c r="G3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2" spans="1:7" x14ac:dyDescent="0.25">
      <c r="A32" s="4">
        <v>100000</v>
      </c>
      <c r="B32" s="4">
        <v>10</v>
      </c>
      <c r="C32" s="4">
        <f>tblTestSpeedAppend[[#This Row],[Words Count]]*tblTestSpeedAppend[[#This Row],[Word Length]]</f>
        <v>1000000</v>
      </c>
      <c r="D32" s="5" t="str">
        <f t="shared" si="0"/>
        <v>Select Here</v>
      </c>
      <c r="E32" s="6"/>
      <c r="F32" s="6"/>
      <c r="G3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3" spans="1:12" x14ac:dyDescent="0.25">
      <c r="A33" s="4">
        <v>1000000</v>
      </c>
      <c r="B33" s="4">
        <v>1</v>
      </c>
      <c r="C33" s="4">
        <f>tblTestSpeedAppend[[#This Row],[Words Count]]*tblTestSpeedAppend[[#This Row],[Word Length]]</f>
        <v>1000000</v>
      </c>
      <c r="D33" s="5" t="str">
        <f t="shared" si="0"/>
        <v>Select Here</v>
      </c>
      <c r="E33" s="6"/>
      <c r="F33" s="6"/>
      <c r="G3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4" spans="1:12" x14ac:dyDescent="0.25">
      <c r="A34" s="4">
        <v>200</v>
      </c>
      <c r="B34" s="4">
        <v>10000</v>
      </c>
      <c r="C34" s="4">
        <f>tblTestSpeedAppend[[#This Row],[Words Count]]*tblTestSpeedAppend[[#This Row],[Word Length]]</f>
        <v>2000000</v>
      </c>
      <c r="D34" s="5" t="str">
        <f t="shared" si="0"/>
        <v>Select Here</v>
      </c>
      <c r="E34" s="6"/>
      <c r="F34" s="6"/>
      <c r="G3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5" spans="1:12" x14ac:dyDescent="0.25">
      <c r="A35" s="4">
        <v>500</v>
      </c>
      <c r="B35" s="4">
        <v>10000</v>
      </c>
      <c r="C35" s="4">
        <f>tblTestSpeedAppend[[#This Row],[Words Count]]*tblTestSpeedAppend[[#This Row],[Word Length]]</f>
        <v>5000000</v>
      </c>
      <c r="D35" s="5" t="str">
        <f t="shared" si="0"/>
        <v>Select Here</v>
      </c>
      <c r="E35" s="6"/>
      <c r="F35" s="6"/>
      <c r="G3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6" spans="1:12" x14ac:dyDescent="0.25">
      <c r="A36" s="4">
        <v>50000</v>
      </c>
      <c r="B36" s="4">
        <v>100</v>
      </c>
      <c r="C36" s="4">
        <f>tblTestSpeedAppend[[#This Row],[Words Count]]*tblTestSpeedAppend[[#This Row],[Word Length]]</f>
        <v>5000000</v>
      </c>
      <c r="D36" s="5" t="str">
        <f t="shared" si="0"/>
        <v>Select Here</v>
      </c>
      <c r="E36" s="6"/>
      <c r="F36" s="6"/>
      <c r="G3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7" spans="1:12" x14ac:dyDescent="0.25">
      <c r="A37" s="4">
        <v>10</v>
      </c>
      <c r="B37" s="4">
        <v>1000000</v>
      </c>
      <c r="C37" s="4">
        <f>tblTestSpeedAppend[[#This Row],[Words Count]]*tblTestSpeedAppend[[#This Row],[Word Length]]</f>
        <v>10000000</v>
      </c>
      <c r="D37" s="5" t="str">
        <f t="shared" si="0"/>
        <v>Select Here</v>
      </c>
      <c r="E37" s="6"/>
      <c r="F37" s="6"/>
      <c r="G3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8" spans="1:12" x14ac:dyDescent="0.25">
      <c r="A38" s="4">
        <v>100</v>
      </c>
      <c r="B38" s="4">
        <v>100000</v>
      </c>
      <c r="C38" s="4">
        <f>tblTestSpeedAppend[[#This Row],[Words Count]]*tblTestSpeedAppend[[#This Row],[Word Length]]</f>
        <v>10000000</v>
      </c>
      <c r="D38" s="5" t="str">
        <f t="shared" si="0"/>
        <v>Select Here</v>
      </c>
      <c r="E38" s="6"/>
      <c r="F38" s="6"/>
      <c r="G3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9" spans="1:12" x14ac:dyDescent="0.25">
      <c r="A39" s="4">
        <v>200</v>
      </c>
      <c r="B39" s="4">
        <v>50000</v>
      </c>
      <c r="C39" s="4">
        <f>tblTestSpeedAppend[[#This Row],[Words Count]]*tblTestSpeedAppend[[#This Row],[Word Length]]</f>
        <v>10000000</v>
      </c>
      <c r="D39" s="5" t="str">
        <f t="shared" si="0"/>
        <v>Select Here</v>
      </c>
      <c r="E39" s="6"/>
      <c r="F39" s="6"/>
      <c r="G3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0" spans="1:12" x14ac:dyDescent="0.25">
      <c r="A40" s="4">
        <v>500</v>
      </c>
      <c r="B40" s="4">
        <v>20000</v>
      </c>
      <c r="C40" s="4">
        <f>tblTestSpeedAppend[[#This Row],[Words Count]]*tblTestSpeedAppend[[#This Row],[Word Length]]</f>
        <v>10000000</v>
      </c>
      <c r="D40" s="5" t="str">
        <f t="shared" si="0"/>
        <v>Select Here</v>
      </c>
      <c r="E40" s="6"/>
      <c r="F40" s="6"/>
      <c r="G4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1" spans="1:12" x14ac:dyDescent="0.25">
      <c r="A41" s="4">
        <v>1000</v>
      </c>
      <c r="B41" s="4">
        <v>10000</v>
      </c>
      <c r="C41" s="4">
        <f>tblTestSpeedAppend[[#This Row],[Words Count]]*tblTestSpeedAppend[[#This Row],[Word Length]]</f>
        <v>10000000</v>
      </c>
      <c r="D41" s="5" t="str">
        <f t="shared" si="0"/>
        <v>Select Here</v>
      </c>
      <c r="E41" s="6"/>
      <c r="F41" s="6"/>
      <c r="G4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2" spans="1:12" x14ac:dyDescent="0.25">
      <c r="A42" s="4">
        <v>10000</v>
      </c>
      <c r="B42" s="4">
        <v>1000</v>
      </c>
      <c r="C42" s="4">
        <f>tblTestSpeedAppend[[#This Row],[Words Count]]*tblTestSpeedAppend[[#This Row],[Word Length]]</f>
        <v>10000000</v>
      </c>
      <c r="D42" s="5" t="str">
        <f t="shared" si="0"/>
        <v>Select Here</v>
      </c>
      <c r="E42" s="6"/>
      <c r="F42" s="6"/>
      <c r="G4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3" spans="1:12" x14ac:dyDescent="0.25">
      <c r="A43" s="4">
        <v>50000</v>
      </c>
      <c r="B43" s="4">
        <v>200</v>
      </c>
      <c r="C43" s="4">
        <f>tblTestSpeedAppend[[#This Row],[Words Count]]*tblTestSpeedAppend[[#This Row],[Word Length]]</f>
        <v>10000000</v>
      </c>
      <c r="D43" s="5" t="str">
        <f t="shared" si="0"/>
        <v>Select Here</v>
      </c>
      <c r="E43" s="6"/>
      <c r="F43" s="6"/>
      <c r="G4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4" spans="1:12" x14ac:dyDescent="0.25">
      <c r="A44" s="9" t="s">
        <v>8</v>
      </c>
      <c r="B44" s="9"/>
      <c r="C44" s="9"/>
      <c r="D44" s="10"/>
      <c r="E44" s="6">
        <f>SUBTOTAL(109,tblTestSpeedAppend[Time (seconds) to concatenate with no buffer])</f>
        <v>0</v>
      </c>
      <c r="F44" s="6">
        <f>SUBTOTAL(109,tblTestSpeedAppend[Time (seconds) to append with buffer])</f>
        <v>0</v>
      </c>
      <c r="G44" s="11"/>
    </row>
    <row r="46" spans="1:12" x14ac:dyDescent="0.25">
      <c r="E46" s="12"/>
      <c r="F46" s="12"/>
      <c r="L46" s="13"/>
    </row>
  </sheetData>
  <conditionalFormatting sqref="G4:G43">
    <cfRule type="dataBar" priority="3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{582A94C3-513F-400C-B223-6283CA7EE079}</x14:id>
        </ext>
      </extLst>
    </cfRule>
  </conditionalFormatting>
  <conditionalFormatting sqref="E4:F43">
    <cfRule type="dataBar" priority="2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{5B2F3EA0-B2D1-4D6B-BEE3-D6B8BCD74A18}</x14:id>
        </ext>
      </extLst>
    </cfRule>
  </conditionalFormatting>
  <conditionalFormatting sqref="C4:C43">
    <cfRule type="cellIs" dxfId="21" priority="1" operator="greaterThan">
      <formula>2147483647</formula>
    </cfRule>
  </conditionalFormatting>
  <dataValidations count="1">
    <dataValidation type="whole" allowBlank="1" showInputMessage="1" showErrorMessage="1" sqref="A4:B43" xr:uid="{3A012031-313D-411B-ABD1-6CEB10E25992}">
      <formula1>1</formula1>
      <formula2>2147483647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2A94C3-513F-400C-B223-6283CA7EE079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G4:G43</xm:sqref>
        </x14:conditionalFormatting>
        <x14:conditionalFormatting xmlns:xm="http://schemas.microsoft.com/office/excel/2006/main">
          <x14:cfRule type="dataBar" id="{5B2F3EA0-B2D1-4D6B-BEE3-D6B8BCD74A1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E4:F43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B165-1A8C-4E0E-B97F-85D39F907EE1}">
  <sheetPr codeName="Sheet3"/>
  <dimension ref="A1:L161"/>
  <sheetViews>
    <sheetView tabSelected="1" workbookViewId="0">
      <pane ySplit="1" topLeftCell="A140" activePane="bottomLeft" state="frozen"/>
      <selection activeCell="E30" sqref="E30:F30"/>
      <selection pane="bottomLeft" activeCell="H163" sqref="H163"/>
    </sheetView>
  </sheetViews>
  <sheetFormatPr defaultColWidth="8.85546875" defaultRowHeight="15" x14ac:dyDescent="0.25"/>
  <cols>
    <col min="1" max="1" width="14" customWidth="1"/>
    <col min="2" max="2" width="14.42578125" bestFit="1" customWidth="1"/>
    <col min="3" max="3" width="10.28515625" customWidth="1"/>
    <col min="4" max="4" width="13.28515625" bestFit="1" customWidth="1"/>
    <col min="5" max="5" width="7.28515625" customWidth="1"/>
    <col min="6" max="6" width="12.5703125" customWidth="1"/>
    <col min="7" max="9" width="11.5703125" customWidth="1"/>
    <col min="10" max="10" width="19.85546875" bestFit="1" customWidth="1"/>
    <col min="11" max="11" width="19.85546875" customWidth="1"/>
    <col min="12" max="12" width="14.5703125" style="6" customWidth="1"/>
    <col min="13" max="13" width="16.42578125" bestFit="1" customWidth="1"/>
  </cols>
  <sheetData>
    <row r="1" spans="1:12" ht="45" x14ac:dyDescent="0.2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</v>
      </c>
      <c r="H1" s="2" t="s">
        <v>2</v>
      </c>
      <c r="I1" s="2" t="s">
        <v>3</v>
      </c>
      <c r="J1" s="2" t="s">
        <v>5</v>
      </c>
      <c r="K1" s="14" t="s">
        <v>6</v>
      </c>
      <c r="L1" s="2" t="s">
        <v>7</v>
      </c>
    </row>
    <row r="2" spans="1:12" x14ac:dyDescent="0.25">
      <c r="A2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s="15">
        <v>10</v>
      </c>
      <c r="H2" s="4">
        <v>1000</v>
      </c>
      <c r="I2" s="4">
        <f>tblSavedAppendSpeed[[#This Row],[Words Count]]*tblSavedAppendSpeed[[#This Row],[Word Length]]</f>
        <v>10000</v>
      </c>
      <c r="J2" s="16">
        <v>0</v>
      </c>
      <c r="K2" s="6">
        <v>0</v>
      </c>
      <c r="L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3" spans="1:12" x14ac:dyDescent="0.25">
      <c r="A3">
        <v>1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s="15">
        <v>100</v>
      </c>
      <c r="H3" s="4">
        <v>100</v>
      </c>
      <c r="I3" s="4">
        <f>tblSavedAppendSpeed[[#This Row],[Words Count]]*tblSavedAppendSpeed[[#This Row],[Word Length]]</f>
        <v>10000</v>
      </c>
      <c r="J3" s="16">
        <v>0</v>
      </c>
      <c r="K3" s="6">
        <v>0</v>
      </c>
      <c r="L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" spans="1:12" x14ac:dyDescent="0.25">
      <c r="A4">
        <v>1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s="15">
        <v>1000</v>
      </c>
      <c r="H4" s="4">
        <v>10</v>
      </c>
      <c r="I4" s="4">
        <f>tblSavedAppendSpeed[[#This Row],[Words Count]]*tblSavedAppendSpeed[[#This Row],[Word Length]]</f>
        <v>10000</v>
      </c>
      <c r="J4" s="16">
        <v>0</v>
      </c>
      <c r="K4" s="6">
        <v>0</v>
      </c>
      <c r="L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" spans="1:12" x14ac:dyDescent="0.25">
      <c r="A5">
        <v>1</v>
      </c>
      <c r="B5" t="s">
        <v>15</v>
      </c>
      <c r="C5" t="s">
        <v>16</v>
      </c>
      <c r="D5" t="s">
        <v>17</v>
      </c>
      <c r="E5" t="s">
        <v>18</v>
      </c>
      <c r="F5" t="s">
        <v>19</v>
      </c>
      <c r="G5" s="15">
        <v>2000</v>
      </c>
      <c r="H5" s="4">
        <v>5</v>
      </c>
      <c r="I5" s="4">
        <f>tblSavedAppendSpeed[[#This Row],[Words Count]]*tblSavedAppendSpeed[[#This Row],[Word Length]]</f>
        <v>10000</v>
      </c>
      <c r="J5" s="16">
        <v>0</v>
      </c>
      <c r="K5" s="6">
        <v>0</v>
      </c>
      <c r="L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6" spans="1:12" x14ac:dyDescent="0.25">
      <c r="A6">
        <v>1</v>
      </c>
      <c r="B6" t="s">
        <v>15</v>
      </c>
      <c r="C6" t="s">
        <v>16</v>
      </c>
      <c r="D6" t="s">
        <v>17</v>
      </c>
      <c r="E6" t="s">
        <v>18</v>
      </c>
      <c r="F6" t="s">
        <v>19</v>
      </c>
      <c r="G6" s="15">
        <v>10000</v>
      </c>
      <c r="H6" s="4">
        <v>1</v>
      </c>
      <c r="I6" s="4">
        <f>tblSavedAppendSpeed[[#This Row],[Words Count]]*tblSavedAppendSpeed[[#This Row],[Word Length]]</f>
        <v>10000</v>
      </c>
      <c r="J6" s="16">
        <v>0</v>
      </c>
      <c r="K6" s="6">
        <v>0</v>
      </c>
      <c r="L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7" spans="1:12" x14ac:dyDescent="0.25">
      <c r="A7">
        <v>1</v>
      </c>
      <c r="B7" t="s">
        <v>15</v>
      </c>
      <c r="C7" t="s">
        <v>16</v>
      </c>
      <c r="D7" t="s">
        <v>17</v>
      </c>
      <c r="E7" t="s">
        <v>18</v>
      </c>
      <c r="F7" t="s">
        <v>19</v>
      </c>
      <c r="G7" s="15">
        <v>200</v>
      </c>
      <c r="H7" s="4">
        <v>100</v>
      </c>
      <c r="I7" s="4">
        <f>tblSavedAppendSpeed[[#This Row],[Words Count]]*tblSavedAppendSpeed[[#This Row],[Word Length]]</f>
        <v>20000</v>
      </c>
      <c r="J7" s="16">
        <v>0</v>
      </c>
      <c r="K7" s="6">
        <v>0</v>
      </c>
      <c r="L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" spans="1:12" x14ac:dyDescent="0.25">
      <c r="A8">
        <v>1</v>
      </c>
      <c r="B8" t="s">
        <v>15</v>
      </c>
      <c r="C8" t="s">
        <v>16</v>
      </c>
      <c r="D8" t="s">
        <v>17</v>
      </c>
      <c r="E8" t="s">
        <v>18</v>
      </c>
      <c r="F8" t="s">
        <v>19</v>
      </c>
      <c r="G8" s="15">
        <v>20000</v>
      </c>
      <c r="H8" s="4">
        <v>1</v>
      </c>
      <c r="I8" s="4">
        <f>tblSavedAppendSpeed[[#This Row],[Words Count]]*tblSavedAppendSpeed[[#This Row],[Word Length]]</f>
        <v>20000</v>
      </c>
      <c r="J8" s="16">
        <v>1.6E-2</v>
      </c>
      <c r="K8" s="6">
        <v>4.0000000000000001E-3</v>
      </c>
      <c r="L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</v>
      </c>
    </row>
    <row r="9" spans="1:12" x14ac:dyDescent="0.25">
      <c r="A9">
        <v>1</v>
      </c>
      <c r="B9" t="s">
        <v>15</v>
      </c>
      <c r="C9" t="s">
        <v>16</v>
      </c>
      <c r="D9" t="s">
        <v>17</v>
      </c>
      <c r="E9" t="s">
        <v>18</v>
      </c>
      <c r="F9" t="s">
        <v>19</v>
      </c>
      <c r="G9" s="15">
        <v>500</v>
      </c>
      <c r="H9" s="4">
        <v>100</v>
      </c>
      <c r="I9" s="4">
        <f>tblSavedAppendSpeed[[#This Row],[Words Count]]*tblSavedAppendSpeed[[#This Row],[Word Length]]</f>
        <v>50000</v>
      </c>
      <c r="J9" s="16">
        <v>4.0000000000000001E-3</v>
      </c>
      <c r="K9" s="6">
        <v>0</v>
      </c>
      <c r="L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0" spans="1:12" x14ac:dyDescent="0.25">
      <c r="A10">
        <v>1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 s="15">
        <v>5000</v>
      </c>
      <c r="H10" s="4">
        <v>10</v>
      </c>
      <c r="I10" s="4">
        <f>tblSavedAppendSpeed[[#This Row],[Words Count]]*tblSavedAppendSpeed[[#This Row],[Word Length]]</f>
        <v>50000</v>
      </c>
      <c r="J10" s="16">
        <v>1.2E-2</v>
      </c>
      <c r="K10" s="6">
        <v>0</v>
      </c>
      <c r="L1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</v>
      </c>
    </row>
    <row r="11" spans="1:12" x14ac:dyDescent="0.25">
      <c r="A11">
        <v>1</v>
      </c>
      <c r="B11" t="s">
        <v>15</v>
      </c>
      <c r="C11" t="s">
        <v>16</v>
      </c>
      <c r="D11" t="s">
        <v>17</v>
      </c>
      <c r="E11" t="s">
        <v>18</v>
      </c>
      <c r="F11" t="s">
        <v>19</v>
      </c>
      <c r="G11" s="15">
        <v>10000</v>
      </c>
      <c r="H11" s="4">
        <v>5</v>
      </c>
      <c r="I11" s="4">
        <f>tblSavedAppendSpeed[[#This Row],[Words Count]]*tblSavedAppendSpeed[[#This Row],[Word Length]]</f>
        <v>50000</v>
      </c>
      <c r="J11" s="16">
        <v>2.3E-2</v>
      </c>
      <c r="K11" s="6">
        <v>4.0000000000000001E-3</v>
      </c>
      <c r="L1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5.75</v>
      </c>
    </row>
    <row r="12" spans="1:12" x14ac:dyDescent="0.25">
      <c r="A12">
        <v>1</v>
      </c>
      <c r="B12" t="s">
        <v>15</v>
      </c>
      <c r="C12" t="s">
        <v>16</v>
      </c>
      <c r="D12" t="s">
        <v>17</v>
      </c>
      <c r="E12" t="s">
        <v>18</v>
      </c>
      <c r="F12" t="s">
        <v>19</v>
      </c>
      <c r="G12" s="15">
        <v>50000</v>
      </c>
      <c r="H12" s="4">
        <v>1</v>
      </c>
      <c r="I12" s="4">
        <f>tblSavedAppendSpeed[[#This Row],[Words Count]]*tblSavedAppendSpeed[[#This Row],[Word Length]]</f>
        <v>50000</v>
      </c>
      <c r="J12" s="16">
        <v>0.09</v>
      </c>
      <c r="K12" s="6">
        <v>8.0000000000000002E-3</v>
      </c>
      <c r="L1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11.25</v>
      </c>
    </row>
    <row r="13" spans="1:12" x14ac:dyDescent="0.25">
      <c r="A13">
        <v>1</v>
      </c>
      <c r="B13" t="s">
        <v>15</v>
      </c>
      <c r="C13" t="s">
        <v>16</v>
      </c>
      <c r="D13" t="s">
        <v>17</v>
      </c>
      <c r="E13" t="s">
        <v>18</v>
      </c>
      <c r="F13" t="s">
        <v>19</v>
      </c>
      <c r="G13" s="15">
        <v>10</v>
      </c>
      <c r="H13" s="4">
        <v>10000</v>
      </c>
      <c r="I13" s="4">
        <f>tblSavedAppendSpeed[[#This Row],[Words Count]]*tblSavedAppendSpeed[[#This Row],[Word Length]]</f>
        <v>100000</v>
      </c>
      <c r="J13" s="16">
        <v>0</v>
      </c>
      <c r="K13" s="6">
        <v>0</v>
      </c>
      <c r="L1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4" spans="1:12" x14ac:dyDescent="0.25">
      <c r="A14">
        <v>1</v>
      </c>
      <c r="B14" t="s">
        <v>15</v>
      </c>
      <c r="C14" t="s">
        <v>16</v>
      </c>
      <c r="D14" t="s">
        <v>17</v>
      </c>
      <c r="E14" t="s">
        <v>18</v>
      </c>
      <c r="F14" t="s">
        <v>19</v>
      </c>
      <c r="G14" s="15">
        <v>100</v>
      </c>
      <c r="H14" s="4">
        <v>1000</v>
      </c>
      <c r="I14" s="4">
        <f>tblSavedAppendSpeed[[#This Row],[Words Count]]*tblSavedAppendSpeed[[#This Row],[Word Length]]</f>
        <v>100000</v>
      </c>
      <c r="J14" s="16">
        <v>0</v>
      </c>
      <c r="K14" s="6">
        <v>0</v>
      </c>
      <c r="L1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5" spans="1:12" x14ac:dyDescent="0.25">
      <c r="A15">
        <v>1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s="15">
        <v>1000</v>
      </c>
      <c r="H15" s="4">
        <v>100</v>
      </c>
      <c r="I15" s="4">
        <f>tblSavedAppendSpeed[[#This Row],[Words Count]]*tblSavedAppendSpeed[[#This Row],[Word Length]]</f>
        <v>100000</v>
      </c>
      <c r="J15" s="16">
        <v>4.0000000000000001E-3</v>
      </c>
      <c r="K15" s="6">
        <v>0</v>
      </c>
      <c r="L1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6" spans="1:12" x14ac:dyDescent="0.25">
      <c r="A16">
        <v>1</v>
      </c>
      <c r="B16" t="s">
        <v>15</v>
      </c>
      <c r="C16" t="s">
        <v>16</v>
      </c>
      <c r="D16" t="s">
        <v>17</v>
      </c>
      <c r="E16" t="s">
        <v>18</v>
      </c>
      <c r="F16" t="s">
        <v>19</v>
      </c>
      <c r="G16" s="15">
        <v>10000</v>
      </c>
      <c r="H16" s="4">
        <v>10</v>
      </c>
      <c r="I16" s="4">
        <f>tblSavedAppendSpeed[[#This Row],[Words Count]]*tblSavedAppendSpeed[[#This Row],[Word Length]]</f>
        <v>100000</v>
      </c>
      <c r="J16" s="16">
        <v>3.9E-2</v>
      </c>
      <c r="K16" s="6">
        <v>4.0000000000000001E-3</v>
      </c>
      <c r="L1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9.75</v>
      </c>
    </row>
    <row r="17" spans="1:12" x14ac:dyDescent="0.25">
      <c r="A17">
        <v>1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  <c r="G17" s="15">
        <v>20000</v>
      </c>
      <c r="H17" s="4">
        <v>5</v>
      </c>
      <c r="I17" s="4">
        <f>tblSavedAppendSpeed[[#This Row],[Words Count]]*tblSavedAppendSpeed[[#This Row],[Word Length]]</f>
        <v>100000</v>
      </c>
      <c r="J17" s="16">
        <v>7.3999999999999996E-2</v>
      </c>
      <c r="K17" s="6">
        <v>4.0000000000000001E-3</v>
      </c>
      <c r="L1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18.5</v>
      </c>
    </row>
    <row r="18" spans="1:12" x14ac:dyDescent="0.25">
      <c r="A18">
        <v>1</v>
      </c>
      <c r="B18" t="s">
        <v>15</v>
      </c>
      <c r="C18" t="s">
        <v>16</v>
      </c>
      <c r="D18" t="s">
        <v>17</v>
      </c>
      <c r="E18" t="s">
        <v>18</v>
      </c>
      <c r="F18" t="s">
        <v>19</v>
      </c>
      <c r="G18" s="15">
        <v>100000</v>
      </c>
      <c r="H18" s="4">
        <v>1</v>
      </c>
      <c r="I18" s="4">
        <f>tblSavedAppendSpeed[[#This Row],[Words Count]]*tblSavedAppendSpeed[[#This Row],[Word Length]]</f>
        <v>100000</v>
      </c>
      <c r="J18" s="16">
        <v>0.35499999999999998</v>
      </c>
      <c r="K18" s="6">
        <v>0.02</v>
      </c>
      <c r="L1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17.75</v>
      </c>
    </row>
    <row r="19" spans="1:12" x14ac:dyDescent="0.25">
      <c r="A19">
        <v>1</v>
      </c>
      <c r="B19" t="s">
        <v>15</v>
      </c>
      <c r="C19" t="s">
        <v>16</v>
      </c>
      <c r="D19" t="s">
        <v>17</v>
      </c>
      <c r="E19" t="s">
        <v>18</v>
      </c>
      <c r="F19" t="s">
        <v>19</v>
      </c>
      <c r="G19" s="15">
        <v>200</v>
      </c>
      <c r="H19" s="4">
        <v>1000</v>
      </c>
      <c r="I19" s="4">
        <f>tblSavedAppendSpeed[[#This Row],[Words Count]]*tblSavedAppendSpeed[[#This Row],[Word Length]]</f>
        <v>200000</v>
      </c>
      <c r="J19" s="16">
        <v>4.0000000000000001E-3</v>
      </c>
      <c r="K19" s="6">
        <v>0</v>
      </c>
      <c r="L1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20" spans="1:12" x14ac:dyDescent="0.25">
      <c r="A20">
        <v>1</v>
      </c>
      <c r="B20" t="s">
        <v>15</v>
      </c>
      <c r="C20" t="s">
        <v>16</v>
      </c>
      <c r="D20" t="s">
        <v>17</v>
      </c>
      <c r="E20" t="s">
        <v>18</v>
      </c>
      <c r="F20" t="s">
        <v>19</v>
      </c>
      <c r="G20" s="15">
        <v>100000</v>
      </c>
      <c r="H20" s="4">
        <v>2</v>
      </c>
      <c r="I20" s="4">
        <f>tblSavedAppendSpeed[[#This Row],[Words Count]]*tblSavedAppendSpeed[[#This Row],[Word Length]]</f>
        <v>200000</v>
      </c>
      <c r="J20" s="16">
        <v>0.76200000000000001</v>
      </c>
      <c r="K20" s="6">
        <v>1.2E-2</v>
      </c>
      <c r="L2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63.5</v>
      </c>
    </row>
    <row r="21" spans="1:12" x14ac:dyDescent="0.25">
      <c r="A21">
        <v>1</v>
      </c>
      <c r="B21" t="s">
        <v>15</v>
      </c>
      <c r="C21" t="s">
        <v>16</v>
      </c>
      <c r="D21" t="s">
        <v>17</v>
      </c>
      <c r="E21" t="s">
        <v>18</v>
      </c>
      <c r="F21" t="s">
        <v>19</v>
      </c>
      <c r="G21" s="15">
        <v>200000</v>
      </c>
      <c r="H21" s="4">
        <v>1</v>
      </c>
      <c r="I21" s="4">
        <f>tblSavedAppendSpeed[[#This Row],[Words Count]]*tblSavedAppendSpeed[[#This Row],[Word Length]]</f>
        <v>200000</v>
      </c>
      <c r="J21" s="16">
        <v>1.512</v>
      </c>
      <c r="K21" s="6">
        <v>3.1E-2</v>
      </c>
      <c r="L2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48.774193548387096</v>
      </c>
    </row>
    <row r="22" spans="1:12" x14ac:dyDescent="0.25">
      <c r="A22">
        <v>1</v>
      </c>
      <c r="B22" t="s">
        <v>15</v>
      </c>
      <c r="C22" t="s">
        <v>16</v>
      </c>
      <c r="D22" t="s">
        <v>17</v>
      </c>
      <c r="E22" t="s">
        <v>18</v>
      </c>
      <c r="F22" t="s">
        <v>19</v>
      </c>
      <c r="G22" s="15">
        <v>50000</v>
      </c>
      <c r="H22" s="4">
        <v>5</v>
      </c>
      <c r="I22" s="4">
        <f>tblSavedAppendSpeed[[#This Row],[Words Count]]*tblSavedAppendSpeed[[#This Row],[Word Length]]</f>
        <v>250000</v>
      </c>
      <c r="J22" s="16">
        <v>0.48799999999999999</v>
      </c>
      <c r="K22" s="6">
        <v>8.0000000000000002E-3</v>
      </c>
      <c r="L2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61</v>
      </c>
    </row>
    <row r="23" spans="1:12" x14ac:dyDescent="0.25">
      <c r="A23">
        <v>1</v>
      </c>
      <c r="B23" t="s">
        <v>15</v>
      </c>
      <c r="C23" t="s">
        <v>16</v>
      </c>
      <c r="D23" t="s">
        <v>17</v>
      </c>
      <c r="E23" t="s">
        <v>18</v>
      </c>
      <c r="F23" t="s">
        <v>19</v>
      </c>
      <c r="G23" s="15">
        <v>30000</v>
      </c>
      <c r="H23" s="4">
        <v>10</v>
      </c>
      <c r="I23" s="4">
        <f>tblSavedAppendSpeed[[#This Row],[Words Count]]*tblSavedAppendSpeed[[#This Row],[Word Length]]</f>
        <v>300000</v>
      </c>
      <c r="J23" s="16">
        <v>1.3360000000000001</v>
      </c>
      <c r="K23" s="6">
        <v>8.0000000000000002E-3</v>
      </c>
      <c r="L2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167</v>
      </c>
    </row>
    <row r="24" spans="1:12" x14ac:dyDescent="0.25">
      <c r="A24">
        <v>1</v>
      </c>
      <c r="B24" t="s">
        <v>15</v>
      </c>
      <c r="C24" t="s">
        <v>16</v>
      </c>
      <c r="D24" t="s">
        <v>17</v>
      </c>
      <c r="E24" t="s">
        <v>18</v>
      </c>
      <c r="F24" t="s">
        <v>19</v>
      </c>
      <c r="G24" s="15">
        <v>500</v>
      </c>
      <c r="H24" s="4">
        <v>1000</v>
      </c>
      <c r="I24" s="4">
        <f>tblSavedAppendSpeed[[#This Row],[Words Count]]*tblSavedAppendSpeed[[#This Row],[Word Length]]</f>
        <v>500000</v>
      </c>
      <c r="J24" s="16">
        <v>9.8000000000000004E-2</v>
      </c>
      <c r="K24" s="6">
        <v>4.0000000000000001E-3</v>
      </c>
      <c r="L2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24.5</v>
      </c>
    </row>
    <row r="25" spans="1:12" x14ac:dyDescent="0.25">
      <c r="A25">
        <v>1</v>
      </c>
      <c r="B25" t="s">
        <v>15</v>
      </c>
      <c r="C25" t="s">
        <v>16</v>
      </c>
      <c r="D25" t="s">
        <v>17</v>
      </c>
      <c r="E25" t="s">
        <v>18</v>
      </c>
      <c r="F25" t="s">
        <v>19</v>
      </c>
      <c r="G25" s="15">
        <v>50000</v>
      </c>
      <c r="H25" s="4">
        <v>10</v>
      </c>
      <c r="I25" s="4">
        <f>tblSavedAppendSpeed[[#This Row],[Words Count]]*tblSavedAppendSpeed[[#This Row],[Word Length]]</f>
        <v>500000</v>
      </c>
      <c r="J25" s="16">
        <v>8.68</v>
      </c>
      <c r="K25" s="6">
        <v>1.6E-2</v>
      </c>
      <c r="L2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542.5</v>
      </c>
    </row>
    <row r="26" spans="1:12" x14ac:dyDescent="0.25">
      <c r="A26">
        <v>1</v>
      </c>
      <c r="B26" t="s">
        <v>15</v>
      </c>
      <c r="C26" t="s">
        <v>16</v>
      </c>
      <c r="D26" t="s">
        <v>17</v>
      </c>
      <c r="E26" t="s">
        <v>18</v>
      </c>
      <c r="F26" t="s">
        <v>19</v>
      </c>
      <c r="G26" s="15">
        <v>100000</v>
      </c>
      <c r="H26" s="4">
        <v>5</v>
      </c>
      <c r="I26" s="4">
        <f>tblSavedAppendSpeed[[#This Row],[Words Count]]*tblSavedAppendSpeed[[#This Row],[Word Length]]</f>
        <v>500000</v>
      </c>
      <c r="J26" s="16">
        <v>17.25</v>
      </c>
      <c r="K26" s="6">
        <v>0.02</v>
      </c>
      <c r="L2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862.5</v>
      </c>
    </row>
    <row r="27" spans="1:12" x14ac:dyDescent="0.25">
      <c r="A27">
        <v>1</v>
      </c>
      <c r="B27" t="s">
        <v>15</v>
      </c>
      <c r="C27" t="s">
        <v>16</v>
      </c>
      <c r="D27" t="s">
        <v>17</v>
      </c>
      <c r="E27" t="s">
        <v>18</v>
      </c>
      <c r="F27" t="s">
        <v>19</v>
      </c>
      <c r="G27" s="15">
        <v>100</v>
      </c>
      <c r="H27" s="4">
        <v>10000</v>
      </c>
      <c r="I27" s="4">
        <f>tblSavedAppendSpeed[[#This Row],[Words Count]]*tblSavedAppendSpeed[[#This Row],[Word Length]]</f>
        <v>1000000</v>
      </c>
      <c r="J27" s="16">
        <v>4.7E-2</v>
      </c>
      <c r="K27" s="6">
        <v>1.2E-2</v>
      </c>
      <c r="L2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3.9166666666666665</v>
      </c>
    </row>
    <row r="28" spans="1:12" x14ac:dyDescent="0.25">
      <c r="A28">
        <v>1</v>
      </c>
      <c r="B28" t="s">
        <v>15</v>
      </c>
      <c r="C28" t="s">
        <v>16</v>
      </c>
      <c r="D28" t="s">
        <v>17</v>
      </c>
      <c r="E28" t="s">
        <v>18</v>
      </c>
      <c r="F28" t="s">
        <v>19</v>
      </c>
      <c r="G28" s="15">
        <v>1000</v>
      </c>
      <c r="H28" s="4">
        <v>1000</v>
      </c>
      <c r="I28" s="4">
        <f>tblSavedAppendSpeed[[#This Row],[Words Count]]*tblSavedAppendSpeed[[#This Row],[Word Length]]</f>
        <v>1000000</v>
      </c>
      <c r="J28" s="16">
        <v>0.43</v>
      </c>
      <c r="K28" s="6">
        <v>8.0000000000000002E-3</v>
      </c>
      <c r="L2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53.75</v>
      </c>
    </row>
    <row r="29" spans="1:12" x14ac:dyDescent="0.25">
      <c r="A29">
        <v>1</v>
      </c>
      <c r="B29" t="s">
        <v>15</v>
      </c>
      <c r="C29" t="s">
        <v>16</v>
      </c>
      <c r="D29" t="s">
        <v>17</v>
      </c>
      <c r="E29" t="s">
        <v>18</v>
      </c>
      <c r="F29" t="s">
        <v>19</v>
      </c>
      <c r="G29" s="15">
        <v>10000</v>
      </c>
      <c r="H29" s="4">
        <v>100</v>
      </c>
      <c r="I29" s="4">
        <f>tblSavedAppendSpeed[[#This Row],[Words Count]]*tblSavedAppendSpeed[[#This Row],[Word Length]]</f>
        <v>1000000</v>
      </c>
      <c r="J29" s="16">
        <v>4.1639999999999997</v>
      </c>
      <c r="K29" s="6">
        <v>0.02</v>
      </c>
      <c r="L2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208.2</v>
      </c>
    </row>
    <row r="30" spans="1:12" x14ac:dyDescent="0.25">
      <c r="A30">
        <v>1</v>
      </c>
      <c r="B30" t="s">
        <v>15</v>
      </c>
      <c r="C30" t="s">
        <v>16</v>
      </c>
      <c r="D30" t="s">
        <v>17</v>
      </c>
      <c r="E30" t="s">
        <v>18</v>
      </c>
      <c r="F30" t="s">
        <v>19</v>
      </c>
      <c r="G30" s="15">
        <v>100000</v>
      </c>
      <c r="H30" s="4">
        <v>10</v>
      </c>
      <c r="I30" s="4">
        <f>tblSavedAppendSpeed[[#This Row],[Words Count]]*tblSavedAppendSpeed[[#This Row],[Word Length]]</f>
        <v>1000000</v>
      </c>
      <c r="J30" s="16">
        <v>42.094000000000001</v>
      </c>
      <c r="K30" s="6">
        <v>2.7E-2</v>
      </c>
      <c r="L3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1559.0370370370372</v>
      </c>
    </row>
    <row r="31" spans="1:12" x14ac:dyDescent="0.25">
      <c r="A31">
        <v>1</v>
      </c>
      <c r="B31" t="s">
        <v>15</v>
      </c>
      <c r="C31" t="s">
        <v>16</v>
      </c>
      <c r="D31" t="s">
        <v>17</v>
      </c>
      <c r="E31" t="s">
        <v>18</v>
      </c>
      <c r="F31" t="s">
        <v>19</v>
      </c>
      <c r="G31" s="15">
        <v>1000000</v>
      </c>
      <c r="H31" s="4">
        <v>1</v>
      </c>
      <c r="I31" s="4">
        <f>tblSavedAppendSpeed[[#This Row],[Words Count]]*tblSavedAppendSpeed[[#This Row],[Word Length]]</f>
        <v>1000000</v>
      </c>
      <c r="J31" s="16">
        <v>439.80900000000003</v>
      </c>
      <c r="K31" s="6">
        <v>0.14799999999999999</v>
      </c>
      <c r="L3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2971.682432432433</v>
      </c>
    </row>
    <row r="32" spans="1:12" x14ac:dyDescent="0.25">
      <c r="A32">
        <v>1</v>
      </c>
      <c r="B32" t="s">
        <v>15</v>
      </c>
      <c r="C32" t="s">
        <v>16</v>
      </c>
      <c r="D32" t="s">
        <v>17</v>
      </c>
      <c r="E32" t="s">
        <v>18</v>
      </c>
      <c r="F32" t="s">
        <v>19</v>
      </c>
      <c r="G32" s="15">
        <v>200</v>
      </c>
      <c r="H32" s="4">
        <v>10000</v>
      </c>
      <c r="I32" s="4">
        <f>tblSavedAppendSpeed[[#This Row],[Words Count]]*tblSavedAppendSpeed[[#This Row],[Word Length]]</f>
        <v>2000000</v>
      </c>
      <c r="J32" s="16">
        <v>0.19900000000000001</v>
      </c>
      <c r="K32" s="6">
        <v>0.02</v>
      </c>
      <c r="L3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9.9500000000000011</v>
      </c>
    </row>
    <row r="33" spans="1:12" x14ac:dyDescent="0.25">
      <c r="A33">
        <v>1</v>
      </c>
      <c r="B33" t="s">
        <v>15</v>
      </c>
      <c r="C33" t="s">
        <v>16</v>
      </c>
      <c r="D33" t="s">
        <v>17</v>
      </c>
      <c r="E33" t="s">
        <v>18</v>
      </c>
      <c r="F33" t="s">
        <v>19</v>
      </c>
      <c r="G33" s="15">
        <v>500</v>
      </c>
      <c r="H33" s="4">
        <v>10000</v>
      </c>
      <c r="I33" s="4">
        <f>tblSavedAppendSpeed[[#This Row],[Words Count]]*tblSavedAppendSpeed[[#This Row],[Word Length]]</f>
        <v>5000000</v>
      </c>
      <c r="J33" s="16">
        <v>1.2110000000000001</v>
      </c>
      <c r="K33" s="6">
        <v>3.9E-2</v>
      </c>
      <c r="L3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31.051282051282055</v>
      </c>
    </row>
    <row r="34" spans="1:12" x14ac:dyDescent="0.25">
      <c r="A34">
        <v>1</v>
      </c>
      <c r="B34" t="s">
        <v>15</v>
      </c>
      <c r="C34" t="s">
        <v>16</v>
      </c>
      <c r="D34" t="s">
        <v>17</v>
      </c>
      <c r="E34" t="s">
        <v>18</v>
      </c>
      <c r="F34" t="s">
        <v>19</v>
      </c>
      <c r="G34" s="15">
        <v>50000</v>
      </c>
      <c r="H34" s="4">
        <v>100</v>
      </c>
      <c r="I34" s="4">
        <f>tblSavedAppendSpeed[[#This Row],[Words Count]]*tblSavedAppendSpeed[[#This Row],[Word Length]]</f>
        <v>5000000</v>
      </c>
      <c r="J34" s="16">
        <v>122.68</v>
      </c>
      <c r="K34" s="6">
        <v>6.3E-2</v>
      </c>
      <c r="L3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1947.3015873015875</v>
      </c>
    </row>
    <row r="35" spans="1:12" x14ac:dyDescent="0.25">
      <c r="A35">
        <v>1</v>
      </c>
      <c r="B35" t="s">
        <v>15</v>
      </c>
      <c r="C35" t="s">
        <v>16</v>
      </c>
      <c r="D35" t="s">
        <v>17</v>
      </c>
      <c r="E35" t="s">
        <v>18</v>
      </c>
      <c r="F35" t="s">
        <v>19</v>
      </c>
      <c r="G35" s="15">
        <v>10</v>
      </c>
      <c r="H35" s="4">
        <v>1000000</v>
      </c>
      <c r="I35" s="4">
        <f>tblSavedAppendSpeed[[#This Row],[Words Count]]*tblSavedAppendSpeed[[#This Row],[Word Length]]</f>
        <v>10000000</v>
      </c>
      <c r="J35" s="16">
        <v>5.8999999999999997E-2</v>
      </c>
      <c r="K35" s="6">
        <v>8.5999999999999993E-2</v>
      </c>
      <c r="L3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-1.4576271186440677</v>
      </c>
    </row>
    <row r="36" spans="1:12" x14ac:dyDescent="0.25">
      <c r="A36">
        <v>1</v>
      </c>
      <c r="B36" t="s">
        <v>15</v>
      </c>
      <c r="C36" t="s">
        <v>16</v>
      </c>
      <c r="D36" t="s">
        <v>17</v>
      </c>
      <c r="E36" t="s">
        <v>18</v>
      </c>
      <c r="F36" t="s">
        <v>19</v>
      </c>
      <c r="G36" s="15">
        <v>100</v>
      </c>
      <c r="H36" s="4">
        <v>100000</v>
      </c>
      <c r="I36" s="4">
        <f>tblSavedAppendSpeed[[#This Row],[Words Count]]*tblSavedAppendSpeed[[#This Row],[Word Length]]</f>
        <v>10000000</v>
      </c>
      <c r="J36" s="16">
        <v>0.504</v>
      </c>
      <c r="K36" s="6">
        <v>9.4E-2</v>
      </c>
      <c r="L3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5.3617021276595747</v>
      </c>
    </row>
    <row r="37" spans="1:12" x14ac:dyDescent="0.25">
      <c r="A37">
        <v>1</v>
      </c>
      <c r="B37" t="s">
        <v>15</v>
      </c>
      <c r="C37" t="s">
        <v>16</v>
      </c>
      <c r="D37" t="s">
        <v>17</v>
      </c>
      <c r="E37" t="s">
        <v>18</v>
      </c>
      <c r="F37" t="s">
        <v>19</v>
      </c>
      <c r="G37" s="15">
        <v>200</v>
      </c>
      <c r="H37" s="4">
        <v>50000</v>
      </c>
      <c r="I37" s="4">
        <f>tblSavedAppendSpeed[[#This Row],[Words Count]]*tblSavedAppendSpeed[[#This Row],[Word Length]]</f>
        <v>10000000</v>
      </c>
      <c r="J37" s="16">
        <v>1.004</v>
      </c>
      <c r="K37" s="6">
        <v>9.4E-2</v>
      </c>
      <c r="L3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10.680851063829786</v>
      </c>
    </row>
    <row r="38" spans="1:12" x14ac:dyDescent="0.25">
      <c r="A38">
        <v>1</v>
      </c>
      <c r="B38" t="s">
        <v>15</v>
      </c>
      <c r="C38" t="s">
        <v>16</v>
      </c>
      <c r="D38" t="s">
        <v>17</v>
      </c>
      <c r="E38" t="s">
        <v>18</v>
      </c>
      <c r="F38" t="s">
        <v>19</v>
      </c>
      <c r="G38" s="15">
        <v>500</v>
      </c>
      <c r="H38" s="4">
        <v>20000</v>
      </c>
      <c r="I38" s="4">
        <f>tblSavedAppendSpeed[[#This Row],[Words Count]]*tblSavedAppendSpeed[[#This Row],[Word Length]]</f>
        <v>10000000</v>
      </c>
      <c r="J38" s="16">
        <v>2.496</v>
      </c>
      <c r="K38" s="6">
        <v>7.3999999999999996E-2</v>
      </c>
      <c r="L3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33.729729729729733</v>
      </c>
    </row>
    <row r="39" spans="1:12" x14ac:dyDescent="0.25">
      <c r="A39">
        <v>1</v>
      </c>
      <c r="B39" t="s">
        <v>15</v>
      </c>
      <c r="C39" t="s">
        <v>16</v>
      </c>
      <c r="D39" t="s">
        <v>17</v>
      </c>
      <c r="E39" t="s">
        <v>18</v>
      </c>
      <c r="F39" t="s">
        <v>19</v>
      </c>
      <c r="G39" s="15">
        <v>1000</v>
      </c>
      <c r="H39" s="4">
        <v>10000</v>
      </c>
      <c r="I39" s="4">
        <f>tblSavedAppendSpeed[[#This Row],[Words Count]]*tblSavedAppendSpeed[[#This Row],[Word Length]]</f>
        <v>10000000</v>
      </c>
      <c r="J39" s="16">
        <v>5.0590000000000002</v>
      </c>
      <c r="K39" s="6">
        <v>7.3999999999999996E-2</v>
      </c>
      <c r="L3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68.36486486486487</v>
      </c>
    </row>
    <row r="40" spans="1:12" x14ac:dyDescent="0.25">
      <c r="A40">
        <v>1</v>
      </c>
      <c r="B40" t="s">
        <v>15</v>
      </c>
      <c r="C40" t="s">
        <v>16</v>
      </c>
      <c r="D40" t="s">
        <v>17</v>
      </c>
      <c r="E40" t="s">
        <v>18</v>
      </c>
      <c r="F40" t="s">
        <v>19</v>
      </c>
      <c r="G40" s="15">
        <v>10000</v>
      </c>
      <c r="H40" s="4">
        <v>1000</v>
      </c>
      <c r="I40" s="4">
        <f>tblSavedAppendSpeed[[#This Row],[Words Count]]*tblSavedAppendSpeed[[#This Row],[Word Length]]</f>
        <v>10000000</v>
      </c>
      <c r="J40" s="16">
        <v>49.433999999999997</v>
      </c>
      <c r="K40" s="6">
        <v>0.11700000000000001</v>
      </c>
      <c r="L4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422.51282051282044</v>
      </c>
    </row>
    <row r="41" spans="1:12" x14ac:dyDescent="0.25">
      <c r="A41">
        <v>1</v>
      </c>
      <c r="B41" t="s">
        <v>15</v>
      </c>
      <c r="C41" t="s">
        <v>16</v>
      </c>
      <c r="D41" t="s">
        <v>17</v>
      </c>
      <c r="E41" t="s">
        <v>18</v>
      </c>
      <c r="F41" t="s">
        <v>19</v>
      </c>
      <c r="G41" s="15">
        <v>50000</v>
      </c>
      <c r="H41" s="4">
        <v>200</v>
      </c>
      <c r="I41" s="4">
        <f>tblSavedAppendSpeed[[#This Row],[Words Count]]*tblSavedAppendSpeed[[#This Row],[Word Length]]</f>
        <v>10000000</v>
      </c>
      <c r="J41" s="16">
        <v>248.70699999999999</v>
      </c>
      <c r="K41" s="6">
        <v>0.10199999999999999</v>
      </c>
      <c r="L4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2438.3039215686276</v>
      </c>
    </row>
    <row r="42" spans="1:12" x14ac:dyDescent="0.25">
      <c r="A42">
        <v>2</v>
      </c>
      <c r="B42" t="s">
        <v>15</v>
      </c>
      <c r="C42" t="s">
        <v>16</v>
      </c>
      <c r="D42" t="s">
        <v>16</v>
      </c>
      <c r="E42" t="s">
        <v>20</v>
      </c>
      <c r="F42" t="s">
        <v>21</v>
      </c>
      <c r="G42" s="15">
        <v>10</v>
      </c>
      <c r="H42" s="4">
        <v>1000</v>
      </c>
      <c r="I42" s="4">
        <f>tblSavedAppendSpeed[[#This Row],[Words Count]]*tblSavedAppendSpeed[[#This Row],[Word Length]]</f>
        <v>10000</v>
      </c>
      <c r="J42" s="16">
        <v>0</v>
      </c>
      <c r="K42" s="6">
        <v>0</v>
      </c>
      <c r="L4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3" spans="1:12" x14ac:dyDescent="0.25">
      <c r="A43">
        <v>2</v>
      </c>
      <c r="B43" t="s">
        <v>15</v>
      </c>
      <c r="C43" t="s">
        <v>16</v>
      </c>
      <c r="D43" t="s">
        <v>16</v>
      </c>
      <c r="E43" t="s">
        <v>20</v>
      </c>
      <c r="F43" t="s">
        <v>21</v>
      </c>
      <c r="G43" s="15">
        <v>100</v>
      </c>
      <c r="H43" s="4">
        <v>100</v>
      </c>
      <c r="I43" s="4">
        <f>tblSavedAppendSpeed[[#This Row],[Words Count]]*tblSavedAppendSpeed[[#This Row],[Word Length]]</f>
        <v>10000</v>
      </c>
      <c r="J43" s="16">
        <v>0</v>
      </c>
      <c r="K43" s="6">
        <v>0</v>
      </c>
      <c r="L4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4" spans="1:12" x14ac:dyDescent="0.25">
      <c r="A44">
        <v>2</v>
      </c>
      <c r="B44" t="s">
        <v>15</v>
      </c>
      <c r="C44" t="s">
        <v>16</v>
      </c>
      <c r="D44" t="s">
        <v>16</v>
      </c>
      <c r="E44" t="s">
        <v>20</v>
      </c>
      <c r="F44" t="s">
        <v>21</v>
      </c>
      <c r="G44" s="15">
        <v>1000</v>
      </c>
      <c r="H44" s="4">
        <v>10</v>
      </c>
      <c r="I44" s="4">
        <f>tblSavedAppendSpeed[[#This Row],[Words Count]]*tblSavedAppendSpeed[[#This Row],[Word Length]]</f>
        <v>10000</v>
      </c>
      <c r="J44" s="16">
        <v>0</v>
      </c>
      <c r="K44" s="6">
        <v>0</v>
      </c>
      <c r="L4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5" spans="1:12" x14ac:dyDescent="0.25">
      <c r="A45">
        <v>2</v>
      </c>
      <c r="B45" t="s">
        <v>15</v>
      </c>
      <c r="C45" t="s">
        <v>16</v>
      </c>
      <c r="D45" t="s">
        <v>16</v>
      </c>
      <c r="E45" t="s">
        <v>20</v>
      </c>
      <c r="F45" t="s">
        <v>21</v>
      </c>
      <c r="G45" s="15">
        <v>2000</v>
      </c>
      <c r="H45" s="4">
        <v>5</v>
      </c>
      <c r="I45" s="4">
        <f>tblSavedAppendSpeed[[#This Row],[Words Count]]*tblSavedAppendSpeed[[#This Row],[Word Length]]</f>
        <v>10000</v>
      </c>
      <c r="J45" s="16">
        <v>0</v>
      </c>
      <c r="K45" s="6">
        <v>0</v>
      </c>
      <c r="L4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6" spans="1:12" x14ac:dyDescent="0.25">
      <c r="A46">
        <v>2</v>
      </c>
      <c r="B46" t="s">
        <v>15</v>
      </c>
      <c r="C46" t="s">
        <v>16</v>
      </c>
      <c r="D46" t="s">
        <v>16</v>
      </c>
      <c r="E46" t="s">
        <v>20</v>
      </c>
      <c r="F46" t="s">
        <v>21</v>
      </c>
      <c r="G46" s="15">
        <v>10000</v>
      </c>
      <c r="H46" s="4">
        <v>1</v>
      </c>
      <c r="I46" s="4">
        <f>tblSavedAppendSpeed[[#This Row],[Words Count]]*tblSavedAppendSpeed[[#This Row],[Word Length]]</f>
        <v>10000</v>
      </c>
      <c r="J46" s="16">
        <v>8.0000000000000002E-3</v>
      </c>
      <c r="K46" s="6">
        <v>0</v>
      </c>
      <c r="L4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47" spans="1:12" x14ac:dyDescent="0.25">
      <c r="A47">
        <v>2</v>
      </c>
      <c r="B47" t="s">
        <v>15</v>
      </c>
      <c r="C47" t="s">
        <v>16</v>
      </c>
      <c r="D47" t="s">
        <v>16</v>
      </c>
      <c r="E47" t="s">
        <v>20</v>
      </c>
      <c r="F47" t="s">
        <v>21</v>
      </c>
      <c r="G47" s="15">
        <v>200</v>
      </c>
      <c r="H47" s="4">
        <v>100</v>
      </c>
      <c r="I47" s="4">
        <f>tblSavedAppendSpeed[[#This Row],[Words Count]]*tblSavedAppendSpeed[[#This Row],[Word Length]]</f>
        <v>20000</v>
      </c>
      <c r="J47" s="16">
        <v>0</v>
      </c>
      <c r="K47" s="6">
        <v>0</v>
      </c>
      <c r="L4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8" spans="1:12" x14ac:dyDescent="0.25">
      <c r="A48">
        <v>2</v>
      </c>
      <c r="B48" t="s">
        <v>15</v>
      </c>
      <c r="C48" t="s">
        <v>16</v>
      </c>
      <c r="D48" t="s">
        <v>16</v>
      </c>
      <c r="E48" t="s">
        <v>20</v>
      </c>
      <c r="F48" t="s">
        <v>21</v>
      </c>
      <c r="G48" s="15">
        <v>20000</v>
      </c>
      <c r="H48" s="4">
        <v>1</v>
      </c>
      <c r="I48" s="4">
        <f>tblSavedAppendSpeed[[#This Row],[Words Count]]*tblSavedAppendSpeed[[#This Row],[Word Length]]</f>
        <v>20000</v>
      </c>
      <c r="J48" s="16">
        <v>1.6E-2</v>
      </c>
      <c r="K48" s="6">
        <v>8.0000000000000002E-3</v>
      </c>
      <c r="L4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</v>
      </c>
    </row>
    <row r="49" spans="1:12" x14ac:dyDescent="0.25">
      <c r="A49">
        <v>2</v>
      </c>
      <c r="B49" t="s">
        <v>15</v>
      </c>
      <c r="C49" t="s">
        <v>16</v>
      </c>
      <c r="D49" t="s">
        <v>16</v>
      </c>
      <c r="E49" t="s">
        <v>20</v>
      </c>
      <c r="F49" t="s">
        <v>21</v>
      </c>
      <c r="G49" s="15">
        <v>500</v>
      </c>
      <c r="H49" s="4">
        <v>100</v>
      </c>
      <c r="I49" s="4">
        <f>tblSavedAppendSpeed[[#This Row],[Words Count]]*tblSavedAppendSpeed[[#This Row],[Word Length]]</f>
        <v>50000</v>
      </c>
      <c r="J49" s="16">
        <v>0</v>
      </c>
      <c r="K49" s="6">
        <v>0</v>
      </c>
      <c r="L4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0" spans="1:12" x14ac:dyDescent="0.25">
      <c r="A50">
        <v>2</v>
      </c>
      <c r="B50" t="s">
        <v>15</v>
      </c>
      <c r="C50" t="s">
        <v>16</v>
      </c>
      <c r="D50" t="s">
        <v>16</v>
      </c>
      <c r="E50" t="s">
        <v>20</v>
      </c>
      <c r="F50" t="s">
        <v>21</v>
      </c>
      <c r="G50" s="15">
        <v>5000</v>
      </c>
      <c r="H50" s="4">
        <v>10</v>
      </c>
      <c r="I50" s="4">
        <f>tblSavedAppendSpeed[[#This Row],[Words Count]]*tblSavedAppendSpeed[[#This Row],[Word Length]]</f>
        <v>50000</v>
      </c>
      <c r="J50" s="16">
        <v>8.0000000000000002E-3</v>
      </c>
      <c r="K50" s="6">
        <v>0</v>
      </c>
      <c r="L5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51" spans="1:12" x14ac:dyDescent="0.25">
      <c r="A51">
        <v>2</v>
      </c>
      <c r="B51" t="s">
        <v>15</v>
      </c>
      <c r="C51" t="s">
        <v>16</v>
      </c>
      <c r="D51" t="s">
        <v>16</v>
      </c>
      <c r="E51" t="s">
        <v>20</v>
      </c>
      <c r="F51" t="s">
        <v>21</v>
      </c>
      <c r="G51" s="15">
        <v>10000</v>
      </c>
      <c r="H51" s="4">
        <v>5</v>
      </c>
      <c r="I51" s="4">
        <f>tblSavedAppendSpeed[[#This Row],[Words Count]]*tblSavedAppendSpeed[[#This Row],[Word Length]]</f>
        <v>50000</v>
      </c>
      <c r="J51" s="16">
        <v>2.3E-2</v>
      </c>
      <c r="K51" s="6">
        <v>0</v>
      </c>
      <c r="L5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46</v>
      </c>
    </row>
    <row r="52" spans="1:12" x14ac:dyDescent="0.25">
      <c r="A52">
        <v>2</v>
      </c>
      <c r="B52" t="s">
        <v>15</v>
      </c>
      <c r="C52" t="s">
        <v>16</v>
      </c>
      <c r="D52" t="s">
        <v>16</v>
      </c>
      <c r="E52" t="s">
        <v>20</v>
      </c>
      <c r="F52" t="s">
        <v>21</v>
      </c>
      <c r="G52" s="15">
        <v>50000</v>
      </c>
      <c r="H52" s="4">
        <v>1</v>
      </c>
      <c r="I52" s="4">
        <f>tblSavedAppendSpeed[[#This Row],[Words Count]]*tblSavedAppendSpeed[[#This Row],[Word Length]]</f>
        <v>50000</v>
      </c>
      <c r="J52" s="16">
        <v>0.11700000000000001</v>
      </c>
      <c r="K52" s="6">
        <v>8.0000000000000002E-3</v>
      </c>
      <c r="L5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14.625</v>
      </c>
    </row>
    <row r="53" spans="1:12" x14ac:dyDescent="0.25">
      <c r="A53">
        <v>2</v>
      </c>
      <c r="B53" t="s">
        <v>15</v>
      </c>
      <c r="C53" t="s">
        <v>16</v>
      </c>
      <c r="D53" t="s">
        <v>16</v>
      </c>
      <c r="E53" t="s">
        <v>20</v>
      </c>
      <c r="F53" t="s">
        <v>21</v>
      </c>
      <c r="G53" s="15">
        <v>10</v>
      </c>
      <c r="H53" s="4">
        <v>10000</v>
      </c>
      <c r="I53" s="4">
        <f>tblSavedAppendSpeed[[#This Row],[Words Count]]*tblSavedAppendSpeed[[#This Row],[Word Length]]</f>
        <v>100000</v>
      </c>
      <c r="J53" s="16">
        <v>0</v>
      </c>
      <c r="K53" s="6">
        <v>0</v>
      </c>
      <c r="L5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4" spans="1:12" x14ac:dyDescent="0.25">
      <c r="A54">
        <v>2</v>
      </c>
      <c r="B54" t="s">
        <v>15</v>
      </c>
      <c r="C54" t="s">
        <v>16</v>
      </c>
      <c r="D54" t="s">
        <v>16</v>
      </c>
      <c r="E54" t="s">
        <v>20</v>
      </c>
      <c r="F54" t="s">
        <v>21</v>
      </c>
      <c r="G54" s="15">
        <v>100</v>
      </c>
      <c r="H54" s="4">
        <v>1000</v>
      </c>
      <c r="I54" s="4">
        <f>tblSavedAppendSpeed[[#This Row],[Words Count]]*tblSavedAppendSpeed[[#This Row],[Word Length]]</f>
        <v>100000</v>
      </c>
      <c r="J54" s="16">
        <v>0</v>
      </c>
      <c r="K54" s="6">
        <v>0</v>
      </c>
      <c r="L5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5" spans="1:12" x14ac:dyDescent="0.25">
      <c r="A55">
        <v>2</v>
      </c>
      <c r="B55" t="s">
        <v>15</v>
      </c>
      <c r="C55" t="s">
        <v>16</v>
      </c>
      <c r="D55" t="s">
        <v>16</v>
      </c>
      <c r="E55" t="s">
        <v>20</v>
      </c>
      <c r="F55" t="s">
        <v>21</v>
      </c>
      <c r="G55" s="15">
        <v>1000</v>
      </c>
      <c r="H55" s="4">
        <v>100</v>
      </c>
      <c r="I55" s="4">
        <f>tblSavedAppendSpeed[[#This Row],[Words Count]]*tblSavedAppendSpeed[[#This Row],[Word Length]]</f>
        <v>100000</v>
      </c>
      <c r="J55" s="16">
        <v>0</v>
      </c>
      <c r="K55" s="6">
        <v>0</v>
      </c>
      <c r="L5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6" spans="1:12" x14ac:dyDescent="0.25">
      <c r="A56">
        <v>2</v>
      </c>
      <c r="B56" t="s">
        <v>15</v>
      </c>
      <c r="C56" t="s">
        <v>16</v>
      </c>
      <c r="D56" t="s">
        <v>16</v>
      </c>
      <c r="E56" t="s">
        <v>20</v>
      </c>
      <c r="F56" t="s">
        <v>21</v>
      </c>
      <c r="G56" s="15">
        <v>10000</v>
      </c>
      <c r="H56" s="4">
        <v>10</v>
      </c>
      <c r="I56" s="4">
        <f>tblSavedAppendSpeed[[#This Row],[Words Count]]*tblSavedAppendSpeed[[#This Row],[Word Length]]</f>
        <v>100000</v>
      </c>
      <c r="J56" s="16">
        <v>5.5E-2</v>
      </c>
      <c r="K56" s="6">
        <v>0</v>
      </c>
      <c r="L5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110</v>
      </c>
    </row>
    <row r="57" spans="1:12" x14ac:dyDescent="0.25">
      <c r="A57">
        <v>2</v>
      </c>
      <c r="B57" t="s">
        <v>15</v>
      </c>
      <c r="C57" t="s">
        <v>16</v>
      </c>
      <c r="D57" t="s">
        <v>16</v>
      </c>
      <c r="E57" t="s">
        <v>20</v>
      </c>
      <c r="F57" t="s">
        <v>21</v>
      </c>
      <c r="G57" s="15">
        <v>20000</v>
      </c>
      <c r="H57" s="4">
        <v>5</v>
      </c>
      <c r="I57" s="4">
        <f>tblSavedAppendSpeed[[#This Row],[Words Count]]*tblSavedAppendSpeed[[#This Row],[Word Length]]</f>
        <v>100000</v>
      </c>
      <c r="J57" s="16">
        <v>0.10199999999999999</v>
      </c>
      <c r="K57" s="6">
        <v>8.0000000000000002E-3</v>
      </c>
      <c r="L5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12.749999999999998</v>
      </c>
    </row>
    <row r="58" spans="1:12" x14ac:dyDescent="0.25">
      <c r="A58">
        <v>2</v>
      </c>
      <c r="B58" t="s">
        <v>15</v>
      </c>
      <c r="C58" t="s">
        <v>16</v>
      </c>
      <c r="D58" t="s">
        <v>16</v>
      </c>
      <c r="E58" t="s">
        <v>20</v>
      </c>
      <c r="F58" t="s">
        <v>21</v>
      </c>
      <c r="G58" s="15">
        <v>100000</v>
      </c>
      <c r="H58" s="4">
        <v>1</v>
      </c>
      <c r="I58" s="4">
        <f>tblSavedAppendSpeed[[#This Row],[Words Count]]*tblSavedAppendSpeed[[#This Row],[Word Length]]</f>
        <v>100000</v>
      </c>
      <c r="J58" s="16">
        <v>0.5</v>
      </c>
      <c r="K58" s="6">
        <v>1.6E-2</v>
      </c>
      <c r="L5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31.25</v>
      </c>
    </row>
    <row r="59" spans="1:12" x14ac:dyDescent="0.25">
      <c r="A59">
        <v>2</v>
      </c>
      <c r="B59" t="s">
        <v>15</v>
      </c>
      <c r="C59" t="s">
        <v>16</v>
      </c>
      <c r="D59" t="s">
        <v>16</v>
      </c>
      <c r="E59" t="s">
        <v>20</v>
      </c>
      <c r="F59" t="s">
        <v>21</v>
      </c>
      <c r="G59" s="15">
        <v>200</v>
      </c>
      <c r="H59" s="4">
        <v>1000</v>
      </c>
      <c r="I59" s="4">
        <f>tblSavedAppendSpeed[[#This Row],[Words Count]]*tblSavedAppendSpeed[[#This Row],[Word Length]]</f>
        <v>200000</v>
      </c>
      <c r="J59" s="16">
        <v>0</v>
      </c>
      <c r="K59" s="6">
        <v>0</v>
      </c>
      <c r="L5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60" spans="1:12" x14ac:dyDescent="0.25">
      <c r="A60">
        <v>2</v>
      </c>
      <c r="B60" t="s">
        <v>15</v>
      </c>
      <c r="C60" t="s">
        <v>16</v>
      </c>
      <c r="D60" t="s">
        <v>16</v>
      </c>
      <c r="E60" t="s">
        <v>20</v>
      </c>
      <c r="F60" t="s">
        <v>21</v>
      </c>
      <c r="G60" s="15">
        <v>100000</v>
      </c>
      <c r="H60" s="4">
        <v>2</v>
      </c>
      <c r="I60" s="4">
        <f>tblSavedAppendSpeed[[#This Row],[Words Count]]*tblSavedAppendSpeed[[#This Row],[Word Length]]</f>
        <v>200000</v>
      </c>
      <c r="J60" s="16">
        <v>1.2110000000000001</v>
      </c>
      <c r="K60" s="6">
        <v>1.6E-2</v>
      </c>
      <c r="L6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75.6875</v>
      </c>
    </row>
    <row r="61" spans="1:12" x14ac:dyDescent="0.25">
      <c r="A61">
        <v>2</v>
      </c>
      <c r="B61" t="s">
        <v>15</v>
      </c>
      <c r="C61" t="s">
        <v>16</v>
      </c>
      <c r="D61" t="s">
        <v>16</v>
      </c>
      <c r="E61" t="s">
        <v>20</v>
      </c>
      <c r="F61" t="s">
        <v>21</v>
      </c>
      <c r="G61" s="15">
        <v>200000</v>
      </c>
      <c r="H61" s="4">
        <v>1</v>
      </c>
      <c r="I61" s="4">
        <f>tblSavedAppendSpeed[[#This Row],[Words Count]]*tblSavedAppendSpeed[[#This Row],[Word Length]]</f>
        <v>200000</v>
      </c>
      <c r="J61" s="16">
        <v>2.1640000000000001</v>
      </c>
      <c r="K61" s="6">
        <v>3.1E-2</v>
      </c>
      <c r="L6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69.806451612903231</v>
      </c>
    </row>
    <row r="62" spans="1:12" x14ac:dyDescent="0.25">
      <c r="A62">
        <v>2</v>
      </c>
      <c r="B62" t="s">
        <v>15</v>
      </c>
      <c r="C62" t="s">
        <v>16</v>
      </c>
      <c r="D62" t="s">
        <v>16</v>
      </c>
      <c r="E62" t="s">
        <v>20</v>
      </c>
      <c r="F62" t="s">
        <v>21</v>
      </c>
      <c r="G62" s="15">
        <v>50000</v>
      </c>
      <c r="H62" s="4">
        <v>5</v>
      </c>
      <c r="I62" s="4">
        <f>tblSavedAppendSpeed[[#This Row],[Words Count]]*tblSavedAppendSpeed[[#This Row],[Word Length]]</f>
        <v>250000</v>
      </c>
      <c r="J62" s="16">
        <v>0.71099999999999997</v>
      </c>
      <c r="K62" s="6">
        <v>8.0000000000000002E-3</v>
      </c>
      <c r="L6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88.875</v>
      </c>
    </row>
    <row r="63" spans="1:12" x14ac:dyDescent="0.25">
      <c r="A63">
        <v>2</v>
      </c>
      <c r="B63" t="s">
        <v>15</v>
      </c>
      <c r="C63" t="s">
        <v>16</v>
      </c>
      <c r="D63" t="s">
        <v>16</v>
      </c>
      <c r="E63" t="s">
        <v>20</v>
      </c>
      <c r="F63" t="s">
        <v>21</v>
      </c>
      <c r="G63" s="15">
        <v>30000</v>
      </c>
      <c r="H63" s="4">
        <v>10</v>
      </c>
      <c r="I63" s="4">
        <f>tblSavedAppendSpeed[[#This Row],[Words Count]]*tblSavedAppendSpeed[[#This Row],[Word Length]]</f>
        <v>300000</v>
      </c>
      <c r="J63" s="16">
        <v>0.49199999999999999</v>
      </c>
      <c r="K63" s="6">
        <v>0</v>
      </c>
      <c r="L6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984</v>
      </c>
    </row>
    <row r="64" spans="1:12" x14ac:dyDescent="0.25">
      <c r="A64">
        <v>2</v>
      </c>
      <c r="B64" t="s">
        <v>15</v>
      </c>
      <c r="C64" t="s">
        <v>16</v>
      </c>
      <c r="D64" t="s">
        <v>16</v>
      </c>
      <c r="E64" t="s">
        <v>20</v>
      </c>
      <c r="F64" t="s">
        <v>21</v>
      </c>
      <c r="G64" s="15">
        <v>500</v>
      </c>
      <c r="H64" s="4">
        <v>1000</v>
      </c>
      <c r="I64" s="4">
        <f>tblSavedAppendSpeed[[#This Row],[Words Count]]*tblSavedAppendSpeed[[#This Row],[Word Length]]</f>
        <v>500000</v>
      </c>
      <c r="J64" s="16">
        <v>7.0000000000000007E-2</v>
      </c>
      <c r="K64" s="6">
        <v>0</v>
      </c>
      <c r="L6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140</v>
      </c>
    </row>
    <row r="65" spans="1:12" x14ac:dyDescent="0.25">
      <c r="A65">
        <v>2</v>
      </c>
      <c r="B65" t="s">
        <v>15</v>
      </c>
      <c r="C65" t="s">
        <v>16</v>
      </c>
      <c r="D65" t="s">
        <v>16</v>
      </c>
      <c r="E65" t="s">
        <v>20</v>
      </c>
      <c r="F65" t="s">
        <v>21</v>
      </c>
      <c r="G65" s="15">
        <v>50000</v>
      </c>
      <c r="H65" s="4">
        <v>10</v>
      </c>
      <c r="I65" s="4">
        <f>tblSavedAppendSpeed[[#This Row],[Words Count]]*tblSavedAppendSpeed[[#This Row],[Word Length]]</f>
        <v>500000</v>
      </c>
      <c r="J65" s="16">
        <v>1.3440000000000001</v>
      </c>
      <c r="K65" s="6">
        <v>8.0000000000000002E-3</v>
      </c>
      <c r="L6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168</v>
      </c>
    </row>
    <row r="66" spans="1:12" x14ac:dyDescent="0.25">
      <c r="A66">
        <v>2</v>
      </c>
      <c r="B66" t="s">
        <v>15</v>
      </c>
      <c r="C66" t="s">
        <v>16</v>
      </c>
      <c r="D66" t="s">
        <v>16</v>
      </c>
      <c r="E66" t="s">
        <v>20</v>
      </c>
      <c r="F66" t="s">
        <v>21</v>
      </c>
      <c r="G66" s="15">
        <v>100000</v>
      </c>
      <c r="H66" s="4">
        <v>5</v>
      </c>
      <c r="I66" s="4">
        <f>tblSavedAppendSpeed[[#This Row],[Words Count]]*tblSavedAppendSpeed[[#This Row],[Word Length]]</f>
        <v>500000</v>
      </c>
      <c r="J66" s="16">
        <v>2.6949999999999998</v>
      </c>
      <c r="K66" s="6">
        <v>1.6E-2</v>
      </c>
      <c r="L6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168.4375</v>
      </c>
    </row>
    <row r="67" spans="1:12" x14ac:dyDescent="0.25">
      <c r="A67">
        <v>2</v>
      </c>
      <c r="B67" t="s">
        <v>15</v>
      </c>
      <c r="C67" t="s">
        <v>16</v>
      </c>
      <c r="D67" t="s">
        <v>16</v>
      </c>
      <c r="E67" t="s">
        <v>20</v>
      </c>
      <c r="F67" t="s">
        <v>21</v>
      </c>
      <c r="G67" s="15">
        <v>100</v>
      </c>
      <c r="H67" s="4">
        <v>10000</v>
      </c>
      <c r="I67" s="4">
        <f>tblSavedAppendSpeed[[#This Row],[Words Count]]*tblSavedAppendSpeed[[#This Row],[Word Length]]</f>
        <v>1000000</v>
      </c>
      <c r="J67" s="16">
        <v>6.3E-2</v>
      </c>
      <c r="K67" s="6">
        <v>1.6E-2</v>
      </c>
      <c r="L6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3.9375</v>
      </c>
    </row>
    <row r="68" spans="1:12" x14ac:dyDescent="0.25">
      <c r="A68">
        <v>2</v>
      </c>
      <c r="B68" t="s">
        <v>15</v>
      </c>
      <c r="C68" t="s">
        <v>16</v>
      </c>
      <c r="D68" t="s">
        <v>16</v>
      </c>
      <c r="E68" t="s">
        <v>20</v>
      </c>
      <c r="F68" t="s">
        <v>21</v>
      </c>
      <c r="G68" s="15">
        <v>1000</v>
      </c>
      <c r="H68" s="4">
        <v>1000</v>
      </c>
      <c r="I68" s="4">
        <f>tblSavedAppendSpeed[[#This Row],[Words Count]]*tblSavedAppendSpeed[[#This Row],[Word Length]]</f>
        <v>1000000</v>
      </c>
      <c r="J68" s="16">
        <v>0.54700000000000004</v>
      </c>
      <c r="K68" s="6">
        <v>1.6E-2</v>
      </c>
      <c r="L6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34.1875</v>
      </c>
    </row>
    <row r="69" spans="1:12" x14ac:dyDescent="0.25">
      <c r="A69">
        <v>2</v>
      </c>
      <c r="B69" t="s">
        <v>15</v>
      </c>
      <c r="C69" t="s">
        <v>16</v>
      </c>
      <c r="D69" t="s">
        <v>16</v>
      </c>
      <c r="E69" t="s">
        <v>20</v>
      </c>
      <c r="F69" t="s">
        <v>21</v>
      </c>
      <c r="G69" s="15">
        <v>10000</v>
      </c>
      <c r="H69" s="4">
        <v>100</v>
      </c>
      <c r="I69" s="4">
        <f>tblSavedAppendSpeed[[#This Row],[Words Count]]*tblSavedAppendSpeed[[#This Row],[Word Length]]</f>
        <v>1000000</v>
      </c>
      <c r="J69" s="16">
        <v>5.3360000000000003</v>
      </c>
      <c r="K69" s="6">
        <v>1.6E-2</v>
      </c>
      <c r="L6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333.5</v>
      </c>
    </row>
    <row r="70" spans="1:12" x14ac:dyDescent="0.25">
      <c r="A70">
        <v>2</v>
      </c>
      <c r="B70" t="s">
        <v>15</v>
      </c>
      <c r="C70" t="s">
        <v>16</v>
      </c>
      <c r="D70" t="s">
        <v>16</v>
      </c>
      <c r="E70" t="s">
        <v>20</v>
      </c>
      <c r="F70" t="s">
        <v>21</v>
      </c>
      <c r="G70" s="15">
        <v>100000</v>
      </c>
      <c r="H70" s="4">
        <v>10</v>
      </c>
      <c r="I70" s="4">
        <f>tblSavedAppendSpeed[[#This Row],[Words Count]]*tblSavedAppendSpeed[[#This Row],[Word Length]]</f>
        <v>1000000</v>
      </c>
      <c r="J70" s="16">
        <v>53.805</v>
      </c>
      <c r="K70" s="6">
        <v>2.3E-2</v>
      </c>
      <c r="L7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2339.3478260869565</v>
      </c>
    </row>
    <row r="71" spans="1:12" x14ac:dyDescent="0.25">
      <c r="A71">
        <v>2</v>
      </c>
      <c r="B71" t="s">
        <v>15</v>
      </c>
      <c r="C71" t="s">
        <v>16</v>
      </c>
      <c r="D71" t="s">
        <v>16</v>
      </c>
      <c r="E71" t="s">
        <v>20</v>
      </c>
      <c r="F71" t="s">
        <v>21</v>
      </c>
      <c r="G71" s="15">
        <v>1000000</v>
      </c>
      <c r="H71" s="4">
        <v>1</v>
      </c>
      <c r="I71" s="4">
        <f>tblSavedAppendSpeed[[#This Row],[Words Count]]*tblSavedAppendSpeed[[#This Row],[Word Length]]</f>
        <v>1000000</v>
      </c>
      <c r="J71" s="16">
        <v>562.65599999999995</v>
      </c>
      <c r="K71" s="6">
        <v>0.14799999999999999</v>
      </c>
      <c r="L7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3801.7297297297296</v>
      </c>
    </row>
    <row r="72" spans="1:12" x14ac:dyDescent="0.25">
      <c r="A72">
        <v>2</v>
      </c>
      <c r="B72" t="s">
        <v>15</v>
      </c>
      <c r="C72" t="s">
        <v>16</v>
      </c>
      <c r="D72" t="s">
        <v>16</v>
      </c>
      <c r="E72" t="s">
        <v>20</v>
      </c>
      <c r="F72" t="s">
        <v>21</v>
      </c>
      <c r="G72" s="15">
        <v>200</v>
      </c>
      <c r="H72" s="4">
        <v>10000</v>
      </c>
      <c r="I72" s="4">
        <f>tblSavedAppendSpeed[[#This Row],[Words Count]]*tblSavedAppendSpeed[[#This Row],[Word Length]]</f>
        <v>2000000</v>
      </c>
      <c r="J72" s="16">
        <v>0.30499999999999999</v>
      </c>
      <c r="K72" s="6">
        <v>2.3E-2</v>
      </c>
      <c r="L7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13.260869565217391</v>
      </c>
    </row>
    <row r="73" spans="1:12" x14ac:dyDescent="0.25">
      <c r="A73">
        <v>2</v>
      </c>
      <c r="B73" t="s">
        <v>15</v>
      </c>
      <c r="C73" t="s">
        <v>16</v>
      </c>
      <c r="D73" t="s">
        <v>16</v>
      </c>
      <c r="E73" t="s">
        <v>20</v>
      </c>
      <c r="F73" t="s">
        <v>21</v>
      </c>
      <c r="G73" s="15">
        <v>500</v>
      </c>
      <c r="H73" s="4">
        <v>10000</v>
      </c>
      <c r="I73" s="4">
        <f>tblSavedAppendSpeed[[#This Row],[Words Count]]*tblSavedAppendSpeed[[#This Row],[Word Length]]</f>
        <v>5000000</v>
      </c>
      <c r="J73" s="16">
        <v>1.9059999999999999</v>
      </c>
      <c r="K73" s="6">
        <v>5.5E-2</v>
      </c>
      <c r="L7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34.654545454545456</v>
      </c>
    </row>
    <row r="74" spans="1:12" x14ac:dyDescent="0.25">
      <c r="A74">
        <v>2</v>
      </c>
      <c r="B74" t="s">
        <v>15</v>
      </c>
      <c r="C74" t="s">
        <v>16</v>
      </c>
      <c r="D74" t="s">
        <v>16</v>
      </c>
      <c r="E74" t="s">
        <v>20</v>
      </c>
      <c r="F74" t="s">
        <v>21</v>
      </c>
      <c r="G74" s="15">
        <v>50000</v>
      </c>
      <c r="H74" s="4">
        <v>100</v>
      </c>
      <c r="I74" s="4">
        <f>tblSavedAppendSpeed[[#This Row],[Words Count]]*tblSavedAppendSpeed[[#This Row],[Word Length]]</f>
        <v>5000000</v>
      </c>
      <c r="J74" s="16">
        <v>185.30500000000001</v>
      </c>
      <c r="K74" s="6">
        <v>7.0000000000000007E-2</v>
      </c>
      <c r="L7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2647.2142857142858</v>
      </c>
    </row>
    <row r="75" spans="1:12" x14ac:dyDescent="0.25">
      <c r="A75">
        <v>2</v>
      </c>
      <c r="B75" t="s">
        <v>15</v>
      </c>
      <c r="C75" t="s">
        <v>16</v>
      </c>
      <c r="D75" t="s">
        <v>16</v>
      </c>
      <c r="E75" t="s">
        <v>20</v>
      </c>
      <c r="F75" t="s">
        <v>21</v>
      </c>
      <c r="G75" s="15">
        <v>10</v>
      </c>
      <c r="H75" s="4">
        <v>1000000</v>
      </c>
      <c r="I75" s="4">
        <f>tblSavedAppendSpeed[[#This Row],[Words Count]]*tblSavedAppendSpeed[[#This Row],[Word Length]]</f>
        <v>10000000</v>
      </c>
      <c r="J75" s="16">
        <v>8.5999999999999993E-2</v>
      </c>
      <c r="K75" s="6">
        <v>0.11700000000000001</v>
      </c>
      <c r="L7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-1.36046511627907</v>
      </c>
    </row>
    <row r="76" spans="1:12" x14ac:dyDescent="0.25">
      <c r="A76">
        <v>2</v>
      </c>
      <c r="B76" t="s">
        <v>15</v>
      </c>
      <c r="C76" t="s">
        <v>16</v>
      </c>
      <c r="D76" t="s">
        <v>16</v>
      </c>
      <c r="E76" t="s">
        <v>20</v>
      </c>
      <c r="F76" t="s">
        <v>21</v>
      </c>
      <c r="G76" s="15">
        <v>100</v>
      </c>
      <c r="H76" s="4">
        <v>100000</v>
      </c>
      <c r="I76" s="4">
        <f>tblSavedAppendSpeed[[#This Row],[Words Count]]*tblSavedAppendSpeed[[#This Row],[Word Length]]</f>
        <v>10000000</v>
      </c>
      <c r="J76" s="16">
        <v>0.77300000000000002</v>
      </c>
      <c r="K76" s="6">
        <v>0.125</v>
      </c>
      <c r="L7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6.1840000000000002</v>
      </c>
    </row>
    <row r="77" spans="1:12" x14ac:dyDescent="0.25">
      <c r="A77">
        <v>2</v>
      </c>
      <c r="B77" t="s">
        <v>15</v>
      </c>
      <c r="C77" t="s">
        <v>16</v>
      </c>
      <c r="D77" t="s">
        <v>16</v>
      </c>
      <c r="E77" t="s">
        <v>20</v>
      </c>
      <c r="F77" t="s">
        <v>21</v>
      </c>
      <c r="G77" s="15">
        <v>200</v>
      </c>
      <c r="H77" s="4">
        <v>50000</v>
      </c>
      <c r="I77" s="4">
        <f>tblSavedAppendSpeed[[#This Row],[Words Count]]*tblSavedAppendSpeed[[#This Row],[Word Length]]</f>
        <v>10000000</v>
      </c>
      <c r="J77" s="16">
        <v>1.5780000000000001</v>
      </c>
      <c r="K77" s="6">
        <v>0.125</v>
      </c>
      <c r="L7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12.624000000000001</v>
      </c>
    </row>
    <row r="78" spans="1:12" x14ac:dyDescent="0.25">
      <c r="A78">
        <v>2</v>
      </c>
      <c r="B78" t="s">
        <v>15</v>
      </c>
      <c r="C78" t="s">
        <v>16</v>
      </c>
      <c r="D78" t="s">
        <v>16</v>
      </c>
      <c r="E78" t="s">
        <v>20</v>
      </c>
      <c r="F78" t="s">
        <v>21</v>
      </c>
      <c r="G78" s="15">
        <v>500</v>
      </c>
      <c r="H78" s="4">
        <v>20000</v>
      </c>
      <c r="I78" s="4">
        <f>tblSavedAppendSpeed[[#This Row],[Words Count]]*tblSavedAppendSpeed[[#This Row],[Word Length]]</f>
        <v>10000000</v>
      </c>
      <c r="J78" s="16">
        <v>3.766</v>
      </c>
      <c r="K78" s="6">
        <v>0.10199999999999999</v>
      </c>
      <c r="L7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36.921568627450981</v>
      </c>
    </row>
    <row r="79" spans="1:12" x14ac:dyDescent="0.25">
      <c r="A79">
        <v>2</v>
      </c>
      <c r="B79" t="s">
        <v>15</v>
      </c>
      <c r="C79" t="s">
        <v>16</v>
      </c>
      <c r="D79" t="s">
        <v>16</v>
      </c>
      <c r="E79" t="s">
        <v>20</v>
      </c>
      <c r="F79" t="s">
        <v>21</v>
      </c>
      <c r="G79" s="15">
        <v>1000</v>
      </c>
      <c r="H79" s="4">
        <v>10000</v>
      </c>
      <c r="I79" s="4">
        <f>tblSavedAppendSpeed[[#This Row],[Words Count]]*tblSavedAppendSpeed[[#This Row],[Word Length]]</f>
        <v>10000000</v>
      </c>
      <c r="J79" s="16">
        <v>7.5860000000000003</v>
      </c>
      <c r="K79" s="6">
        <v>0.10199999999999999</v>
      </c>
      <c r="L7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74.372549019607845</v>
      </c>
    </row>
    <row r="80" spans="1:12" x14ac:dyDescent="0.25">
      <c r="A80">
        <v>2</v>
      </c>
      <c r="B80" t="s">
        <v>15</v>
      </c>
      <c r="C80" t="s">
        <v>16</v>
      </c>
      <c r="D80" t="s">
        <v>16</v>
      </c>
      <c r="E80" t="s">
        <v>20</v>
      </c>
      <c r="F80" t="s">
        <v>21</v>
      </c>
      <c r="G80" s="15">
        <v>10000</v>
      </c>
      <c r="H80" s="4">
        <v>1000</v>
      </c>
      <c r="I80" s="4">
        <f>tblSavedAppendSpeed[[#This Row],[Words Count]]*tblSavedAppendSpeed[[#This Row],[Word Length]]</f>
        <v>10000000</v>
      </c>
      <c r="J80" s="16">
        <v>76.210999999999999</v>
      </c>
      <c r="K80" s="6">
        <v>0.14799999999999999</v>
      </c>
      <c r="L8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514.93918918918916</v>
      </c>
    </row>
    <row r="81" spans="1:12" x14ac:dyDescent="0.25">
      <c r="A81">
        <v>2</v>
      </c>
      <c r="B81" t="s">
        <v>15</v>
      </c>
      <c r="C81" t="s">
        <v>16</v>
      </c>
      <c r="D81" t="s">
        <v>16</v>
      </c>
      <c r="E81" t="s">
        <v>20</v>
      </c>
      <c r="F81" t="s">
        <v>21</v>
      </c>
      <c r="G81" s="15">
        <v>50000</v>
      </c>
      <c r="H81" s="4">
        <v>200</v>
      </c>
      <c r="I81" s="4">
        <f>tblSavedAppendSpeed[[#This Row],[Words Count]]*tblSavedAppendSpeed[[#This Row],[Word Length]]</f>
        <v>10000000</v>
      </c>
      <c r="J81" s="16">
        <v>386.64800000000002</v>
      </c>
      <c r="K81" s="6">
        <v>0.13300000000000001</v>
      </c>
      <c r="L8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2907.1278195488721</v>
      </c>
    </row>
    <row r="82" spans="1:12" x14ac:dyDescent="0.25">
      <c r="A82">
        <v>3</v>
      </c>
      <c r="B82" t="s">
        <v>22</v>
      </c>
      <c r="C82" t="s">
        <v>16</v>
      </c>
      <c r="D82" t="s">
        <v>16</v>
      </c>
      <c r="E82" t="s">
        <v>20</v>
      </c>
      <c r="F82" t="s">
        <v>23</v>
      </c>
      <c r="G82" s="15">
        <v>10</v>
      </c>
      <c r="H82" s="4">
        <v>1000</v>
      </c>
      <c r="I82" s="4">
        <f>tblSavedAppendSpeed[[#This Row],[Words Count]]*tblSavedAppendSpeed[[#This Row],[Word Length]]</f>
        <v>10000</v>
      </c>
      <c r="J82" s="16">
        <v>0</v>
      </c>
      <c r="K82" s="6">
        <v>0</v>
      </c>
      <c r="L8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3" spans="1:12" x14ac:dyDescent="0.25">
      <c r="A83">
        <v>3</v>
      </c>
      <c r="B83" t="s">
        <v>22</v>
      </c>
      <c r="C83" t="s">
        <v>16</v>
      </c>
      <c r="D83" t="s">
        <v>16</v>
      </c>
      <c r="E83" t="s">
        <v>20</v>
      </c>
      <c r="F83" t="s">
        <v>23</v>
      </c>
      <c r="G83" s="15">
        <v>100</v>
      </c>
      <c r="H83" s="4">
        <v>100</v>
      </c>
      <c r="I83" s="4">
        <f>tblSavedAppendSpeed[[#This Row],[Words Count]]*tblSavedAppendSpeed[[#This Row],[Word Length]]</f>
        <v>10000</v>
      </c>
      <c r="J83" s="16">
        <v>0</v>
      </c>
      <c r="K83" s="6">
        <v>0</v>
      </c>
      <c r="L8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4" spans="1:12" x14ac:dyDescent="0.25">
      <c r="A84">
        <v>3</v>
      </c>
      <c r="B84" t="s">
        <v>22</v>
      </c>
      <c r="C84" t="s">
        <v>16</v>
      </c>
      <c r="D84" t="s">
        <v>16</v>
      </c>
      <c r="E84" t="s">
        <v>20</v>
      </c>
      <c r="F84" t="s">
        <v>23</v>
      </c>
      <c r="G84" s="15">
        <v>1000</v>
      </c>
      <c r="H84" s="4">
        <v>10</v>
      </c>
      <c r="I84" s="4">
        <f>tblSavedAppendSpeed[[#This Row],[Words Count]]*tblSavedAppendSpeed[[#This Row],[Word Length]]</f>
        <v>10000</v>
      </c>
      <c r="J84" s="16">
        <v>0</v>
      </c>
      <c r="K84" s="6">
        <v>0</v>
      </c>
      <c r="L8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5" spans="1:12" x14ac:dyDescent="0.25">
      <c r="A85">
        <v>3</v>
      </c>
      <c r="B85" t="s">
        <v>22</v>
      </c>
      <c r="C85" t="s">
        <v>16</v>
      </c>
      <c r="D85" t="s">
        <v>16</v>
      </c>
      <c r="E85" t="s">
        <v>20</v>
      </c>
      <c r="F85" t="s">
        <v>23</v>
      </c>
      <c r="G85" s="15">
        <v>2000</v>
      </c>
      <c r="H85" s="4">
        <v>5</v>
      </c>
      <c r="I85" s="4">
        <f>tblSavedAppendSpeed[[#This Row],[Words Count]]*tblSavedAppendSpeed[[#This Row],[Word Length]]</f>
        <v>10000</v>
      </c>
      <c r="J85" s="16">
        <v>0.01</v>
      </c>
      <c r="K85" s="6">
        <v>0.01</v>
      </c>
      <c r="L8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6" spans="1:12" x14ac:dyDescent="0.25">
      <c r="A86">
        <v>3</v>
      </c>
      <c r="B86" t="s">
        <v>22</v>
      </c>
      <c r="C86" t="s">
        <v>16</v>
      </c>
      <c r="D86" t="s">
        <v>16</v>
      </c>
      <c r="E86" t="s">
        <v>20</v>
      </c>
      <c r="F86" t="s">
        <v>23</v>
      </c>
      <c r="G86" s="15">
        <v>10000</v>
      </c>
      <c r="H86" s="4">
        <v>1</v>
      </c>
      <c r="I86" s="4">
        <f>tblSavedAppendSpeed[[#This Row],[Words Count]]*tblSavedAppendSpeed[[#This Row],[Word Length]]</f>
        <v>10000</v>
      </c>
      <c r="J86" s="16">
        <v>0.01</v>
      </c>
      <c r="K86" s="6">
        <v>0.03</v>
      </c>
      <c r="L8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-3</v>
      </c>
    </row>
    <row r="87" spans="1:12" x14ac:dyDescent="0.25">
      <c r="A87">
        <v>3</v>
      </c>
      <c r="B87" t="s">
        <v>22</v>
      </c>
      <c r="C87" t="s">
        <v>16</v>
      </c>
      <c r="D87" t="s">
        <v>16</v>
      </c>
      <c r="E87" t="s">
        <v>20</v>
      </c>
      <c r="F87" t="s">
        <v>23</v>
      </c>
      <c r="G87" s="15">
        <v>200</v>
      </c>
      <c r="H87" s="4">
        <v>100</v>
      </c>
      <c r="I87" s="4">
        <f>tblSavedAppendSpeed[[#This Row],[Words Count]]*tblSavedAppendSpeed[[#This Row],[Word Length]]</f>
        <v>20000</v>
      </c>
      <c r="J87" s="16">
        <v>0</v>
      </c>
      <c r="K87" s="6">
        <v>0</v>
      </c>
      <c r="L8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8" spans="1:12" x14ac:dyDescent="0.25">
      <c r="A88">
        <v>3</v>
      </c>
      <c r="B88" t="s">
        <v>22</v>
      </c>
      <c r="C88" t="s">
        <v>16</v>
      </c>
      <c r="D88" t="s">
        <v>16</v>
      </c>
      <c r="E88" t="s">
        <v>20</v>
      </c>
      <c r="F88" t="s">
        <v>23</v>
      </c>
      <c r="G88" s="15">
        <v>20000</v>
      </c>
      <c r="H88" s="4">
        <v>1</v>
      </c>
      <c r="I88" s="4">
        <f>tblSavedAppendSpeed[[#This Row],[Words Count]]*tblSavedAppendSpeed[[#This Row],[Word Length]]</f>
        <v>20000</v>
      </c>
      <c r="J88" s="16">
        <v>0.02</v>
      </c>
      <c r="K88" s="6">
        <v>0.05</v>
      </c>
      <c r="L8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-2.5</v>
      </c>
    </row>
    <row r="89" spans="1:12" x14ac:dyDescent="0.25">
      <c r="A89">
        <v>3</v>
      </c>
      <c r="B89" t="s">
        <v>22</v>
      </c>
      <c r="C89" t="s">
        <v>16</v>
      </c>
      <c r="D89" t="s">
        <v>16</v>
      </c>
      <c r="E89" t="s">
        <v>20</v>
      </c>
      <c r="F89" t="s">
        <v>23</v>
      </c>
      <c r="G89" s="15">
        <v>500</v>
      </c>
      <c r="H89" s="4">
        <v>100</v>
      </c>
      <c r="I89" s="4">
        <f>tblSavedAppendSpeed[[#This Row],[Words Count]]*tblSavedAppendSpeed[[#This Row],[Word Length]]</f>
        <v>50000</v>
      </c>
      <c r="J89" s="16">
        <v>0</v>
      </c>
      <c r="K89" s="6">
        <v>0</v>
      </c>
      <c r="L8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0" spans="1:12" x14ac:dyDescent="0.25">
      <c r="A90">
        <v>3</v>
      </c>
      <c r="B90" t="s">
        <v>22</v>
      </c>
      <c r="C90" t="s">
        <v>16</v>
      </c>
      <c r="D90" t="s">
        <v>16</v>
      </c>
      <c r="E90" t="s">
        <v>20</v>
      </c>
      <c r="F90" t="s">
        <v>23</v>
      </c>
      <c r="G90" s="15">
        <v>5000</v>
      </c>
      <c r="H90" s="4">
        <v>10</v>
      </c>
      <c r="I90" s="4">
        <f>tblSavedAppendSpeed[[#This Row],[Words Count]]*tblSavedAppendSpeed[[#This Row],[Word Length]]</f>
        <v>50000</v>
      </c>
      <c r="J90" s="16">
        <v>0.02</v>
      </c>
      <c r="K90" s="6">
        <v>0.02</v>
      </c>
      <c r="L9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1" spans="1:12" x14ac:dyDescent="0.25">
      <c r="A91">
        <v>3</v>
      </c>
      <c r="B91" t="s">
        <v>22</v>
      </c>
      <c r="C91" t="s">
        <v>16</v>
      </c>
      <c r="D91" t="s">
        <v>16</v>
      </c>
      <c r="E91" t="s">
        <v>20</v>
      </c>
      <c r="F91" t="s">
        <v>23</v>
      </c>
      <c r="G91" s="15">
        <v>10000</v>
      </c>
      <c r="H91" s="4">
        <v>5</v>
      </c>
      <c r="I91" s="4">
        <f>tblSavedAppendSpeed[[#This Row],[Words Count]]*tblSavedAppendSpeed[[#This Row],[Word Length]]</f>
        <v>50000</v>
      </c>
      <c r="J91" s="16">
        <v>0.02</v>
      </c>
      <c r="K91" s="6">
        <v>0.02</v>
      </c>
      <c r="L9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2" spans="1:12" x14ac:dyDescent="0.25">
      <c r="A92">
        <v>3</v>
      </c>
      <c r="B92" t="s">
        <v>22</v>
      </c>
      <c r="C92" t="s">
        <v>16</v>
      </c>
      <c r="D92" t="s">
        <v>16</v>
      </c>
      <c r="E92" t="s">
        <v>20</v>
      </c>
      <c r="F92" t="s">
        <v>23</v>
      </c>
      <c r="G92" s="15">
        <v>50000</v>
      </c>
      <c r="H92" s="4">
        <v>1</v>
      </c>
      <c r="I92" s="4">
        <f>tblSavedAppendSpeed[[#This Row],[Words Count]]*tblSavedAppendSpeed[[#This Row],[Word Length]]</f>
        <v>50000</v>
      </c>
      <c r="J92" s="16">
        <v>0.1</v>
      </c>
      <c r="K92" s="6">
        <v>0.13</v>
      </c>
      <c r="L9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-1.3</v>
      </c>
    </row>
    <row r="93" spans="1:12" x14ac:dyDescent="0.25">
      <c r="A93">
        <v>3</v>
      </c>
      <c r="B93" t="s">
        <v>22</v>
      </c>
      <c r="C93" t="s">
        <v>16</v>
      </c>
      <c r="D93" t="s">
        <v>16</v>
      </c>
      <c r="E93" t="s">
        <v>20</v>
      </c>
      <c r="F93" t="s">
        <v>23</v>
      </c>
      <c r="G93" s="15">
        <v>10</v>
      </c>
      <c r="H93" s="4">
        <v>10000</v>
      </c>
      <c r="I93" s="4">
        <f>tblSavedAppendSpeed[[#This Row],[Words Count]]*tblSavedAppendSpeed[[#This Row],[Word Length]]</f>
        <v>100000</v>
      </c>
      <c r="J93" s="16">
        <v>0</v>
      </c>
      <c r="K93" s="6">
        <v>0</v>
      </c>
      <c r="L9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4" spans="1:12" x14ac:dyDescent="0.25">
      <c r="A94">
        <v>3</v>
      </c>
      <c r="B94" t="s">
        <v>22</v>
      </c>
      <c r="C94" t="s">
        <v>16</v>
      </c>
      <c r="D94" t="s">
        <v>16</v>
      </c>
      <c r="E94" t="s">
        <v>20</v>
      </c>
      <c r="F94" t="s">
        <v>23</v>
      </c>
      <c r="G94" s="15">
        <v>100</v>
      </c>
      <c r="H94" s="4">
        <v>1000</v>
      </c>
      <c r="I94" s="4">
        <f>tblSavedAppendSpeed[[#This Row],[Words Count]]*tblSavedAppendSpeed[[#This Row],[Word Length]]</f>
        <v>100000</v>
      </c>
      <c r="J94" s="16">
        <v>0</v>
      </c>
      <c r="K94" s="6">
        <v>0</v>
      </c>
      <c r="L9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5" spans="1:12" x14ac:dyDescent="0.25">
      <c r="A95">
        <v>3</v>
      </c>
      <c r="B95" t="s">
        <v>22</v>
      </c>
      <c r="C95" t="s">
        <v>16</v>
      </c>
      <c r="D95" t="s">
        <v>16</v>
      </c>
      <c r="E95" t="s">
        <v>20</v>
      </c>
      <c r="F95" t="s">
        <v>23</v>
      </c>
      <c r="G95" s="15">
        <v>1000</v>
      </c>
      <c r="H95" s="4">
        <v>100</v>
      </c>
      <c r="I95" s="4">
        <f>tblSavedAppendSpeed[[#This Row],[Words Count]]*tblSavedAppendSpeed[[#This Row],[Word Length]]</f>
        <v>100000</v>
      </c>
      <c r="J95" s="16">
        <v>0</v>
      </c>
      <c r="K95" s="6">
        <v>0</v>
      </c>
      <c r="L9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6" spans="1:12" x14ac:dyDescent="0.25">
      <c r="A96">
        <v>3</v>
      </c>
      <c r="B96" t="s">
        <v>22</v>
      </c>
      <c r="C96" t="s">
        <v>16</v>
      </c>
      <c r="D96" t="s">
        <v>16</v>
      </c>
      <c r="E96" t="s">
        <v>20</v>
      </c>
      <c r="F96" t="s">
        <v>23</v>
      </c>
      <c r="G96" s="15">
        <v>10000</v>
      </c>
      <c r="H96" s="4">
        <v>10</v>
      </c>
      <c r="I96" s="4">
        <f>tblSavedAppendSpeed[[#This Row],[Words Count]]*tblSavedAppendSpeed[[#This Row],[Word Length]]</f>
        <v>100000</v>
      </c>
      <c r="J96" s="16">
        <v>0.04</v>
      </c>
      <c r="K96" s="6">
        <v>0.03</v>
      </c>
      <c r="L9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1.3333333333333335</v>
      </c>
    </row>
    <row r="97" spans="1:12" x14ac:dyDescent="0.25">
      <c r="A97">
        <v>3</v>
      </c>
      <c r="B97" t="s">
        <v>22</v>
      </c>
      <c r="C97" t="s">
        <v>16</v>
      </c>
      <c r="D97" t="s">
        <v>16</v>
      </c>
      <c r="E97" t="s">
        <v>20</v>
      </c>
      <c r="F97" t="s">
        <v>23</v>
      </c>
      <c r="G97" s="15">
        <v>20000</v>
      </c>
      <c r="H97" s="4">
        <v>5</v>
      </c>
      <c r="I97" s="4">
        <f>tblSavedAppendSpeed[[#This Row],[Words Count]]*tblSavedAppendSpeed[[#This Row],[Word Length]]</f>
        <v>100000</v>
      </c>
      <c r="J97" s="16">
        <v>0.08</v>
      </c>
      <c r="K97" s="6">
        <v>0.05</v>
      </c>
      <c r="L9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1.5999999999999999</v>
      </c>
    </row>
    <row r="98" spans="1:12" x14ac:dyDescent="0.25">
      <c r="A98">
        <v>3</v>
      </c>
      <c r="B98" t="s">
        <v>22</v>
      </c>
      <c r="C98" t="s">
        <v>16</v>
      </c>
      <c r="D98" t="s">
        <v>16</v>
      </c>
      <c r="E98" t="s">
        <v>20</v>
      </c>
      <c r="F98" t="s">
        <v>23</v>
      </c>
      <c r="G98" s="15">
        <v>100000</v>
      </c>
      <c r="H98" s="4">
        <v>1</v>
      </c>
      <c r="I98" s="4">
        <f>tblSavedAppendSpeed[[#This Row],[Words Count]]*tblSavedAppendSpeed[[#This Row],[Word Length]]</f>
        <v>100000</v>
      </c>
      <c r="J98" s="16">
        <v>0.37</v>
      </c>
      <c r="K98" s="6">
        <v>0.26</v>
      </c>
      <c r="L9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1.4230769230769229</v>
      </c>
    </row>
    <row r="99" spans="1:12" x14ac:dyDescent="0.25">
      <c r="A99">
        <v>3</v>
      </c>
      <c r="B99" t="s">
        <v>22</v>
      </c>
      <c r="C99" t="s">
        <v>16</v>
      </c>
      <c r="D99" t="s">
        <v>16</v>
      </c>
      <c r="E99" t="s">
        <v>20</v>
      </c>
      <c r="F99" t="s">
        <v>23</v>
      </c>
      <c r="G99" s="15">
        <v>200</v>
      </c>
      <c r="H99" s="4">
        <v>1000</v>
      </c>
      <c r="I99" s="4">
        <f>tblSavedAppendSpeed[[#This Row],[Words Count]]*tblSavedAppendSpeed[[#This Row],[Word Length]]</f>
        <v>200000</v>
      </c>
      <c r="J99" s="16">
        <v>0.01</v>
      </c>
      <c r="K99" s="6">
        <v>0</v>
      </c>
      <c r="L9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20</v>
      </c>
    </row>
    <row r="100" spans="1:12" x14ac:dyDescent="0.25">
      <c r="A100">
        <v>3</v>
      </c>
      <c r="B100" t="s">
        <v>22</v>
      </c>
      <c r="C100" t="s">
        <v>16</v>
      </c>
      <c r="D100" t="s">
        <v>16</v>
      </c>
      <c r="E100" t="s">
        <v>20</v>
      </c>
      <c r="F100" t="s">
        <v>23</v>
      </c>
      <c r="G100" s="15">
        <v>100000</v>
      </c>
      <c r="H100" s="4">
        <v>2</v>
      </c>
      <c r="I100" s="4">
        <f>tblSavedAppendSpeed[[#This Row],[Words Count]]*tblSavedAppendSpeed[[#This Row],[Word Length]]</f>
        <v>200000</v>
      </c>
      <c r="J100" s="16">
        <v>0.75</v>
      </c>
      <c r="K100" s="6">
        <v>0.26</v>
      </c>
      <c r="L10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2.8846153846153846</v>
      </c>
    </row>
    <row r="101" spans="1:12" x14ac:dyDescent="0.25">
      <c r="A101">
        <v>3</v>
      </c>
      <c r="B101" t="s">
        <v>22</v>
      </c>
      <c r="C101" t="s">
        <v>16</v>
      </c>
      <c r="D101" t="s">
        <v>16</v>
      </c>
      <c r="E101" t="s">
        <v>20</v>
      </c>
      <c r="F101" t="s">
        <v>23</v>
      </c>
      <c r="G101" s="15">
        <v>200000</v>
      </c>
      <c r="H101" s="4">
        <v>1</v>
      </c>
      <c r="I101" s="4">
        <f>tblSavedAppendSpeed[[#This Row],[Words Count]]*tblSavedAppendSpeed[[#This Row],[Word Length]]</f>
        <v>200000</v>
      </c>
      <c r="J101" s="16">
        <v>1.48</v>
      </c>
      <c r="K101" s="6">
        <v>0.52</v>
      </c>
      <c r="L10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2.8461538461538458</v>
      </c>
    </row>
    <row r="102" spans="1:12" x14ac:dyDescent="0.25">
      <c r="A102">
        <v>3</v>
      </c>
      <c r="B102" t="s">
        <v>22</v>
      </c>
      <c r="C102" t="s">
        <v>16</v>
      </c>
      <c r="D102" t="s">
        <v>16</v>
      </c>
      <c r="E102" t="s">
        <v>20</v>
      </c>
      <c r="F102" t="s">
        <v>23</v>
      </c>
      <c r="G102" s="15">
        <v>50000</v>
      </c>
      <c r="H102" s="4">
        <v>5</v>
      </c>
      <c r="I102" s="4">
        <f>tblSavedAppendSpeed[[#This Row],[Words Count]]*tblSavedAppendSpeed[[#This Row],[Word Length]]</f>
        <v>250000</v>
      </c>
      <c r="J102" s="16">
        <v>0.48</v>
      </c>
      <c r="K102" s="6">
        <v>0.13</v>
      </c>
      <c r="L10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3.6923076923076921</v>
      </c>
    </row>
    <row r="103" spans="1:12" x14ac:dyDescent="0.25">
      <c r="A103">
        <v>3</v>
      </c>
      <c r="B103" t="s">
        <v>22</v>
      </c>
      <c r="C103" t="s">
        <v>16</v>
      </c>
      <c r="D103" t="s">
        <v>16</v>
      </c>
      <c r="E103" t="s">
        <v>20</v>
      </c>
      <c r="F103" t="s">
        <v>23</v>
      </c>
      <c r="G103" s="15">
        <v>30000</v>
      </c>
      <c r="H103" s="4">
        <v>10</v>
      </c>
      <c r="I103" s="4">
        <f>tblSavedAppendSpeed[[#This Row],[Words Count]]*tblSavedAppendSpeed[[#This Row],[Word Length]]</f>
        <v>300000</v>
      </c>
      <c r="J103" s="16">
        <v>0.37</v>
      </c>
      <c r="K103" s="6">
        <v>0.08</v>
      </c>
      <c r="L10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4.625</v>
      </c>
    </row>
    <row r="104" spans="1:12" x14ac:dyDescent="0.25">
      <c r="A104">
        <v>3</v>
      </c>
      <c r="B104" t="s">
        <v>22</v>
      </c>
      <c r="C104" t="s">
        <v>16</v>
      </c>
      <c r="D104" t="s">
        <v>16</v>
      </c>
      <c r="E104" t="s">
        <v>20</v>
      </c>
      <c r="F104" t="s">
        <v>23</v>
      </c>
      <c r="G104" s="15">
        <v>500</v>
      </c>
      <c r="H104" s="4">
        <v>1000</v>
      </c>
      <c r="I104" s="4">
        <f>tblSavedAppendSpeed[[#This Row],[Words Count]]*tblSavedAppendSpeed[[#This Row],[Word Length]]</f>
        <v>500000</v>
      </c>
      <c r="J104" s="16">
        <v>0.12</v>
      </c>
      <c r="K104" s="6">
        <v>0</v>
      </c>
      <c r="L10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240</v>
      </c>
    </row>
    <row r="105" spans="1:12" x14ac:dyDescent="0.25">
      <c r="A105">
        <v>3</v>
      </c>
      <c r="B105" t="s">
        <v>22</v>
      </c>
      <c r="C105" t="s">
        <v>16</v>
      </c>
      <c r="D105" t="s">
        <v>16</v>
      </c>
      <c r="E105" t="s">
        <v>20</v>
      </c>
      <c r="F105" t="s">
        <v>23</v>
      </c>
      <c r="G105" s="15">
        <v>50000</v>
      </c>
      <c r="H105" s="4">
        <v>10</v>
      </c>
      <c r="I105" s="4">
        <f>tblSavedAppendSpeed[[#This Row],[Words Count]]*tblSavedAppendSpeed[[#This Row],[Word Length]]</f>
        <v>500000</v>
      </c>
      <c r="J105" s="16">
        <v>1.06</v>
      </c>
      <c r="K105" s="6">
        <v>0.13</v>
      </c>
      <c r="L10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8.1538461538461533</v>
      </c>
    </row>
    <row r="106" spans="1:12" x14ac:dyDescent="0.25">
      <c r="A106">
        <v>3</v>
      </c>
      <c r="B106" t="s">
        <v>22</v>
      </c>
      <c r="C106" t="s">
        <v>16</v>
      </c>
      <c r="D106" t="s">
        <v>16</v>
      </c>
      <c r="E106" t="s">
        <v>20</v>
      </c>
      <c r="F106" t="s">
        <v>23</v>
      </c>
      <c r="G106" s="15">
        <v>100000</v>
      </c>
      <c r="H106" s="4">
        <v>5</v>
      </c>
      <c r="I106" s="4">
        <f>tblSavedAppendSpeed[[#This Row],[Words Count]]*tblSavedAppendSpeed[[#This Row],[Word Length]]</f>
        <v>500000</v>
      </c>
      <c r="J106" s="16">
        <v>2</v>
      </c>
      <c r="K106" s="6">
        <v>0.25</v>
      </c>
      <c r="L10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07" spans="1:12" x14ac:dyDescent="0.25">
      <c r="A107">
        <v>3</v>
      </c>
      <c r="B107" t="s">
        <v>22</v>
      </c>
      <c r="C107" t="s">
        <v>16</v>
      </c>
      <c r="D107" t="s">
        <v>16</v>
      </c>
      <c r="E107" t="s">
        <v>20</v>
      </c>
      <c r="F107" t="s">
        <v>23</v>
      </c>
      <c r="G107" s="15">
        <v>100</v>
      </c>
      <c r="H107" s="4">
        <v>10000</v>
      </c>
      <c r="I107" s="4">
        <f>tblSavedAppendSpeed[[#This Row],[Words Count]]*tblSavedAppendSpeed[[#This Row],[Word Length]]</f>
        <v>1000000</v>
      </c>
      <c r="J107" s="16">
        <v>0.06</v>
      </c>
      <c r="K107" s="6">
        <v>0.01</v>
      </c>
      <c r="L10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</v>
      </c>
    </row>
    <row r="108" spans="1:12" x14ac:dyDescent="0.25">
      <c r="A108">
        <v>3</v>
      </c>
      <c r="B108" t="s">
        <v>22</v>
      </c>
      <c r="C108" t="s">
        <v>16</v>
      </c>
      <c r="D108" t="s">
        <v>16</v>
      </c>
      <c r="E108" t="s">
        <v>20</v>
      </c>
      <c r="F108" t="s">
        <v>23</v>
      </c>
      <c r="G108" s="15">
        <v>1000</v>
      </c>
      <c r="H108" s="4">
        <v>1000</v>
      </c>
      <c r="I108" s="4">
        <f>tblSavedAppendSpeed[[#This Row],[Words Count]]*tblSavedAppendSpeed[[#This Row],[Word Length]]</f>
        <v>1000000</v>
      </c>
      <c r="J108" s="16">
        <v>0.52</v>
      </c>
      <c r="K108" s="6">
        <v>0</v>
      </c>
      <c r="L10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1040</v>
      </c>
    </row>
    <row r="109" spans="1:12" x14ac:dyDescent="0.25">
      <c r="A109">
        <v>3</v>
      </c>
      <c r="B109" t="s">
        <v>22</v>
      </c>
      <c r="C109" t="s">
        <v>16</v>
      </c>
      <c r="D109" t="s">
        <v>16</v>
      </c>
      <c r="E109" t="s">
        <v>20</v>
      </c>
      <c r="F109" t="s">
        <v>23</v>
      </c>
      <c r="G109" s="15">
        <v>10000</v>
      </c>
      <c r="H109" s="4">
        <v>100</v>
      </c>
      <c r="I109" s="4">
        <f>tblSavedAppendSpeed[[#This Row],[Words Count]]*tblSavedAppendSpeed[[#This Row],[Word Length]]</f>
        <v>1000000</v>
      </c>
      <c r="J109" s="16">
        <v>1.1200000000000001</v>
      </c>
      <c r="K109" s="6">
        <v>0.03</v>
      </c>
      <c r="L10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37.333333333333336</v>
      </c>
    </row>
    <row r="110" spans="1:12" x14ac:dyDescent="0.25">
      <c r="A110">
        <v>3</v>
      </c>
      <c r="B110" t="s">
        <v>22</v>
      </c>
      <c r="C110" t="s">
        <v>16</v>
      </c>
      <c r="D110" t="s">
        <v>16</v>
      </c>
      <c r="E110" t="s">
        <v>20</v>
      </c>
      <c r="F110" t="s">
        <v>23</v>
      </c>
      <c r="G110" s="15">
        <v>100000</v>
      </c>
      <c r="H110" s="4">
        <v>10</v>
      </c>
      <c r="I110" s="4">
        <f>tblSavedAppendSpeed[[#This Row],[Words Count]]*tblSavedAppendSpeed[[#This Row],[Word Length]]</f>
        <v>1000000</v>
      </c>
      <c r="J110" s="16">
        <v>6.98</v>
      </c>
      <c r="K110" s="6">
        <v>0.26</v>
      </c>
      <c r="L11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26.846153846153847</v>
      </c>
    </row>
    <row r="111" spans="1:12" x14ac:dyDescent="0.25">
      <c r="A111">
        <v>3</v>
      </c>
      <c r="B111" t="s">
        <v>22</v>
      </c>
      <c r="C111" t="s">
        <v>16</v>
      </c>
      <c r="D111" t="s">
        <v>16</v>
      </c>
      <c r="E111" t="s">
        <v>20</v>
      </c>
      <c r="F111" t="s">
        <v>23</v>
      </c>
      <c r="G111" s="15">
        <v>1000000</v>
      </c>
      <c r="H111" s="4">
        <v>1</v>
      </c>
      <c r="I111" s="4">
        <f>tblSavedAppendSpeed[[#This Row],[Words Count]]*tblSavedAppendSpeed[[#This Row],[Word Length]]</f>
        <v>1000000</v>
      </c>
      <c r="J111" s="16">
        <v>61.4</v>
      </c>
      <c r="K111" s="6">
        <v>2.56</v>
      </c>
      <c r="L11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23.984375</v>
      </c>
    </row>
    <row r="112" spans="1:12" x14ac:dyDescent="0.25">
      <c r="A112">
        <v>3</v>
      </c>
      <c r="B112" t="s">
        <v>22</v>
      </c>
      <c r="C112" t="s">
        <v>16</v>
      </c>
      <c r="D112" t="s">
        <v>16</v>
      </c>
      <c r="E112" t="s">
        <v>20</v>
      </c>
      <c r="F112" t="s">
        <v>23</v>
      </c>
      <c r="G112" s="15">
        <v>200</v>
      </c>
      <c r="H112" s="4">
        <v>10000</v>
      </c>
      <c r="I112" s="4">
        <f>tblSavedAppendSpeed[[#This Row],[Words Count]]*tblSavedAppendSpeed[[#This Row],[Word Length]]</f>
        <v>2000000</v>
      </c>
      <c r="J112" s="16">
        <v>0.2</v>
      </c>
      <c r="K112" s="6">
        <v>0.02</v>
      </c>
      <c r="L11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</v>
      </c>
    </row>
    <row r="113" spans="1:12" x14ac:dyDescent="0.25">
      <c r="A113">
        <v>3</v>
      </c>
      <c r="B113" t="s">
        <v>22</v>
      </c>
      <c r="C113" t="s">
        <v>16</v>
      </c>
      <c r="D113" t="s">
        <v>16</v>
      </c>
      <c r="E113" t="s">
        <v>20</v>
      </c>
      <c r="F113" t="s">
        <v>23</v>
      </c>
      <c r="G113" s="15">
        <v>500</v>
      </c>
      <c r="H113" s="4">
        <v>10000</v>
      </c>
      <c r="I113" s="4">
        <f>tblSavedAppendSpeed[[#This Row],[Words Count]]*tblSavedAppendSpeed[[#This Row],[Word Length]]</f>
        <v>5000000</v>
      </c>
      <c r="J113" s="16">
        <v>1.37</v>
      </c>
      <c r="K113" s="6">
        <v>0.03</v>
      </c>
      <c r="L11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45.666666666666671</v>
      </c>
    </row>
    <row r="114" spans="1:12" x14ac:dyDescent="0.25">
      <c r="A114">
        <v>3</v>
      </c>
      <c r="B114" t="s">
        <v>22</v>
      </c>
      <c r="C114" t="s">
        <v>16</v>
      </c>
      <c r="D114" t="s">
        <v>16</v>
      </c>
      <c r="E114" t="s">
        <v>20</v>
      </c>
      <c r="F114" t="s">
        <v>23</v>
      </c>
      <c r="G114" s="15">
        <v>50000</v>
      </c>
      <c r="H114" s="4">
        <v>100</v>
      </c>
      <c r="I114" s="4">
        <f>tblSavedAppendSpeed[[#This Row],[Words Count]]*tblSavedAppendSpeed[[#This Row],[Word Length]]</f>
        <v>5000000</v>
      </c>
      <c r="J114" s="16">
        <v>50.5</v>
      </c>
      <c r="K114" s="6">
        <v>0.17</v>
      </c>
      <c r="L11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297.05882352941177</v>
      </c>
    </row>
    <row r="115" spans="1:12" x14ac:dyDescent="0.25">
      <c r="A115">
        <v>3</v>
      </c>
      <c r="B115" t="s">
        <v>22</v>
      </c>
      <c r="C115" t="s">
        <v>16</v>
      </c>
      <c r="D115" t="s">
        <v>16</v>
      </c>
      <c r="E115" t="s">
        <v>20</v>
      </c>
      <c r="F115" t="s">
        <v>23</v>
      </c>
      <c r="G115" s="15">
        <v>10</v>
      </c>
      <c r="H115" s="4">
        <v>1000000</v>
      </c>
      <c r="I115" s="4">
        <f>tblSavedAppendSpeed[[#This Row],[Words Count]]*tblSavedAppendSpeed[[#This Row],[Word Length]]</f>
        <v>10000000</v>
      </c>
      <c r="J115" s="16">
        <v>0.03</v>
      </c>
      <c r="K115" s="6">
        <v>7.0000000000000007E-2</v>
      </c>
      <c r="L11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-2.3333333333333335</v>
      </c>
    </row>
    <row r="116" spans="1:12" x14ac:dyDescent="0.25">
      <c r="A116">
        <v>3</v>
      </c>
      <c r="B116" t="s">
        <v>22</v>
      </c>
      <c r="C116" t="s">
        <v>16</v>
      </c>
      <c r="D116" t="s">
        <v>16</v>
      </c>
      <c r="E116" t="s">
        <v>20</v>
      </c>
      <c r="F116" t="s">
        <v>23</v>
      </c>
      <c r="G116" s="15">
        <v>100</v>
      </c>
      <c r="H116" s="4">
        <v>100000</v>
      </c>
      <c r="I116" s="4">
        <f>tblSavedAppendSpeed[[#This Row],[Words Count]]*tblSavedAppendSpeed[[#This Row],[Word Length]]</f>
        <v>10000000</v>
      </c>
      <c r="J116" s="16">
        <v>0.55000000000000004</v>
      </c>
      <c r="K116" s="6">
        <v>0.08</v>
      </c>
      <c r="L11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6.875</v>
      </c>
    </row>
    <row r="117" spans="1:12" x14ac:dyDescent="0.25">
      <c r="A117">
        <v>3</v>
      </c>
      <c r="B117" t="s">
        <v>22</v>
      </c>
      <c r="C117" t="s">
        <v>16</v>
      </c>
      <c r="D117" t="s">
        <v>16</v>
      </c>
      <c r="E117" t="s">
        <v>20</v>
      </c>
      <c r="F117" t="s">
        <v>23</v>
      </c>
      <c r="G117" s="15">
        <v>200</v>
      </c>
      <c r="H117" s="4">
        <v>50000</v>
      </c>
      <c r="I117" s="4">
        <f>tblSavedAppendSpeed[[#This Row],[Words Count]]*tblSavedAppendSpeed[[#This Row],[Word Length]]</f>
        <v>10000000</v>
      </c>
      <c r="J117" s="16">
        <v>1.1000000000000001</v>
      </c>
      <c r="K117" s="6">
        <v>0.08</v>
      </c>
      <c r="L11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13.75</v>
      </c>
    </row>
    <row r="118" spans="1:12" x14ac:dyDescent="0.25">
      <c r="A118">
        <v>3</v>
      </c>
      <c r="B118" t="s">
        <v>22</v>
      </c>
      <c r="C118" t="s">
        <v>16</v>
      </c>
      <c r="D118" t="s">
        <v>16</v>
      </c>
      <c r="E118" t="s">
        <v>20</v>
      </c>
      <c r="F118" t="s">
        <v>23</v>
      </c>
      <c r="G118" s="15">
        <v>500</v>
      </c>
      <c r="H118" s="4">
        <v>20000</v>
      </c>
      <c r="I118" s="4">
        <f>tblSavedAppendSpeed[[#This Row],[Words Count]]*tblSavedAppendSpeed[[#This Row],[Word Length]]</f>
        <v>10000000</v>
      </c>
      <c r="J118" s="16">
        <v>2.78</v>
      </c>
      <c r="K118" s="6">
        <v>7.0000000000000007E-2</v>
      </c>
      <c r="L11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39.714285714285708</v>
      </c>
    </row>
    <row r="119" spans="1:12" x14ac:dyDescent="0.25">
      <c r="A119">
        <v>3</v>
      </c>
      <c r="B119" t="s">
        <v>22</v>
      </c>
      <c r="C119" t="s">
        <v>16</v>
      </c>
      <c r="D119" t="s">
        <v>16</v>
      </c>
      <c r="E119" t="s">
        <v>20</v>
      </c>
      <c r="F119" t="s">
        <v>23</v>
      </c>
      <c r="G119" s="15">
        <v>1000</v>
      </c>
      <c r="H119" s="4">
        <v>10000</v>
      </c>
      <c r="I119" s="4">
        <f>tblSavedAppendSpeed[[#This Row],[Words Count]]*tblSavedAppendSpeed[[#This Row],[Word Length]]</f>
        <v>10000000</v>
      </c>
      <c r="J119" s="16">
        <v>5.5</v>
      </c>
      <c r="K119" s="6">
        <v>0.08</v>
      </c>
      <c r="L11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68.75</v>
      </c>
    </row>
    <row r="120" spans="1:12" x14ac:dyDescent="0.25">
      <c r="A120">
        <v>3</v>
      </c>
      <c r="B120" t="s">
        <v>22</v>
      </c>
      <c r="C120" t="s">
        <v>16</v>
      </c>
      <c r="D120" t="s">
        <v>16</v>
      </c>
      <c r="E120" t="s">
        <v>20</v>
      </c>
      <c r="F120" t="s">
        <v>23</v>
      </c>
      <c r="G120" s="15">
        <v>10000</v>
      </c>
      <c r="H120" s="4">
        <v>1000</v>
      </c>
      <c r="I120" s="4">
        <f>tblSavedAppendSpeed[[#This Row],[Words Count]]*tblSavedAppendSpeed[[#This Row],[Word Length]]</f>
        <v>10000000</v>
      </c>
      <c r="J120" s="16">
        <v>56.33</v>
      </c>
      <c r="K120" s="6">
        <v>0.14000000000000001</v>
      </c>
      <c r="L12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402.35714285714283</v>
      </c>
    </row>
    <row r="121" spans="1:12" x14ac:dyDescent="0.25">
      <c r="A121">
        <v>3</v>
      </c>
      <c r="B121" t="s">
        <v>22</v>
      </c>
      <c r="C121" t="s">
        <v>16</v>
      </c>
      <c r="D121" t="s">
        <v>16</v>
      </c>
      <c r="E121" t="s">
        <v>20</v>
      </c>
      <c r="F121" t="s">
        <v>23</v>
      </c>
      <c r="G121" s="15">
        <v>50000</v>
      </c>
      <c r="H121" s="4">
        <v>200</v>
      </c>
      <c r="I121" s="4">
        <f>tblSavedAppendSpeed[[#This Row],[Words Count]]*tblSavedAppendSpeed[[#This Row],[Word Length]]</f>
        <v>10000000</v>
      </c>
      <c r="J121" s="16">
        <v>126.17</v>
      </c>
      <c r="K121" s="6">
        <v>0.22</v>
      </c>
      <c r="L12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573.5</v>
      </c>
    </row>
    <row r="122" spans="1:12" x14ac:dyDescent="0.25">
      <c r="A122">
        <v>4</v>
      </c>
      <c r="B122" t="s">
        <v>24</v>
      </c>
      <c r="C122" t="s">
        <v>16</v>
      </c>
      <c r="D122" t="s">
        <v>17</v>
      </c>
      <c r="E122" t="s">
        <v>25</v>
      </c>
      <c r="F122" t="s">
        <v>26</v>
      </c>
      <c r="G122" s="15">
        <v>10</v>
      </c>
      <c r="H122" s="4">
        <v>1000</v>
      </c>
      <c r="I122" s="4">
        <f>tblSavedAppendSpeed[[#This Row],[Words Count]]*tblSavedAppendSpeed[[#This Row],[Word Length]]</f>
        <v>10000</v>
      </c>
      <c r="J122" s="16">
        <v>0</v>
      </c>
      <c r="K122" s="6">
        <v>0</v>
      </c>
      <c r="L12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3" spans="1:12" x14ac:dyDescent="0.25">
      <c r="A123">
        <v>4</v>
      </c>
      <c r="B123" t="s">
        <v>24</v>
      </c>
      <c r="C123" t="s">
        <v>16</v>
      </c>
      <c r="D123" t="s">
        <v>17</v>
      </c>
      <c r="E123" t="s">
        <v>25</v>
      </c>
      <c r="F123" t="s">
        <v>26</v>
      </c>
      <c r="G123" s="15">
        <v>100</v>
      </c>
      <c r="H123" s="4">
        <v>100</v>
      </c>
      <c r="I123" s="4">
        <f>tblSavedAppendSpeed[[#This Row],[Words Count]]*tblSavedAppendSpeed[[#This Row],[Word Length]]</f>
        <v>10000</v>
      </c>
      <c r="J123" s="16">
        <v>0</v>
      </c>
      <c r="K123" s="6">
        <v>0</v>
      </c>
      <c r="L12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4" spans="1:12" x14ac:dyDescent="0.25">
      <c r="A124">
        <v>4</v>
      </c>
      <c r="B124" t="s">
        <v>24</v>
      </c>
      <c r="C124" t="s">
        <v>16</v>
      </c>
      <c r="D124" t="s">
        <v>17</v>
      </c>
      <c r="E124" t="s">
        <v>25</v>
      </c>
      <c r="F124" t="s">
        <v>26</v>
      </c>
      <c r="G124" s="15">
        <v>1000</v>
      </c>
      <c r="H124" s="4">
        <v>10</v>
      </c>
      <c r="I124" s="4">
        <f>tblSavedAppendSpeed[[#This Row],[Words Count]]*tblSavedAppendSpeed[[#This Row],[Word Length]]</f>
        <v>10000</v>
      </c>
      <c r="J124" s="16">
        <v>0</v>
      </c>
      <c r="K124" s="6">
        <v>0</v>
      </c>
      <c r="L12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5" spans="1:12" x14ac:dyDescent="0.25">
      <c r="A125">
        <v>4</v>
      </c>
      <c r="B125" t="s">
        <v>24</v>
      </c>
      <c r="C125" t="s">
        <v>16</v>
      </c>
      <c r="D125" t="s">
        <v>17</v>
      </c>
      <c r="E125" t="s">
        <v>25</v>
      </c>
      <c r="F125" t="s">
        <v>26</v>
      </c>
      <c r="G125" s="15">
        <v>2000</v>
      </c>
      <c r="H125" s="4">
        <v>5</v>
      </c>
      <c r="I125" s="4">
        <f>tblSavedAppendSpeed[[#This Row],[Words Count]]*tblSavedAppendSpeed[[#This Row],[Word Length]]</f>
        <v>10000</v>
      </c>
      <c r="J125" s="16">
        <v>0</v>
      </c>
      <c r="K125" s="6">
        <v>0</v>
      </c>
      <c r="L12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6" spans="1:12" x14ac:dyDescent="0.25">
      <c r="A126">
        <v>4</v>
      </c>
      <c r="B126" t="s">
        <v>24</v>
      </c>
      <c r="C126" t="s">
        <v>16</v>
      </c>
      <c r="D126" t="s">
        <v>17</v>
      </c>
      <c r="E126" t="s">
        <v>25</v>
      </c>
      <c r="F126" t="s">
        <v>26</v>
      </c>
      <c r="G126" s="15">
        <v>10000</v>
      </c>
      <c r="H126" s="4">
        <v>1</v>
      </c>
      <c r="I126" s="4">
        <f>tblSavedAppendSpeed[[#This Row],[Words Count]]*tblSavedAppendSpeed[[#This Row],[Word Length]]</f>
        <v>10000</v>
      </c>
      <c r="J126" s="16">
        <v>4.0000000000000001E-3</v>
      </c>
      <c r="K126" s="6">
        <v>0</v>
      </c>
      <c r="L12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27" spans="1:12" x14ac:dyDescent="0.25">
      <c r="A127">
        <v>4</v>
      </c>
      <c r="B127" t="s">
        <v>24</v>
      </c>
      <c r="C127" t="s">
        <v>16</v>
      </c>
      <c r="D127" t="s">
        <v>17</v>
      </c>
      <c r="E127" t="s">
        <v>25</v>
      </c>
      <c r="F127" t="s">
        <v>26</v>
      </c>
      <c r="G127" s="15">
        <v>200</v>
      </c>
      <c r="H127" s="4">
        <v>100</v>
      </c>
      <c r="I127" s="4">
        <f>tblSavedAppendSpeed[[#This Row],[Words Count]]*tblSavedAppendSpeed[[#This Row],[Word Length]]</f>
        <v>20000</v>
      </c>
      <c r="J127" s="16">
        <v>0</v>
      </c>
      <c r="K127" s="6">
        <v>0</v>
      </c>
      <c r="L12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8" spans="1:12" x14ac:dyDescent="0.25">
      <c r="A128">
        <v>4</v>
      </c>
      <c r="B128" t="s">
        <v>24</v>
      </c>
      <c r="C128" t="s">
        <v>16</v>
      </c>
      <c r="D128" t="s">
        <v>17</v>
      </c>
      <c r="E128" t="s">
        <v>25</v>
      </c>
      <c r="F128" t="s">
        <v>26</v>
      </c>
      <c r="G128" s="15">
        <v>20000</v>
      </c>
      <c r="H128" s="4">
        <v>1</v>
      </c>
      <c r="I128" s="4">
        <f>tblSavedAppendSpeed[[#This Row],[Words Count]]*tblSavedAppendSpeed[[#This Row],[Word Length]]</f>
        <v>20000</v>
      </c>
      <c r="J128" s="16">
        <v>2.3E-2</v>
      </c>
      <c r="K128" s="6">
        <v>4.0000000000000001E-3</v>
      </c>
      <c r="L12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5.75</v>
      </c>
    </row>
    <row r="129" spans="1:12" x14ac:dyDescent="0.25">
      <c r="A129">
        <v>4</v>
      </c>
      <c r="B129" t="s">
        <v>24</v>
      </c>
      <c r="C129" t="s">
        <v>16</v>
      </c>
      <c r="D129" t="s">
        <v>17</v>
      </c>
      <c r="E129" t="s">
        <v>25</v>
      </c>
      <c r="F129" t="s">
        <v>26</v>
      </c>
      <c r="G129" s="15">
        <v>500</v>
      </c>
      <c r="H129" s="4">
        <v>100</v>
      </c>
      <c r="I129" s="4">
        <f>tblSavedAppendSpeed[[#This Row],[Words Count]]*tblSavedAppendSpeed[[#This Row],[Word Length]]</f>
        <v>50000</v>
      </c>
      <c r="J129" s="16">
        <v>4.0000000000000001E-3</v>
      </c>
      <c r="K129" s="6">
        <v>0</v>
      </c>
      <c r="L12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30" spans="1:12" x14ac:dyDescent="0.25">
      <c r="A130">
        <v>4</v>
      </c>
      <c r="B130" t="s">
        <v>24</v>
      </c>
      <c r="C130" t="s">
        <v>16</v>
      </c>
      <c r="D130" t="s">
        <v>17</v>
      </c>
      <c r="E130" t="s">
        <v>25</v>
      </c>
      <c r="F130" t="s">
        <v>26</v>
      </c>
      <c r="G130" s="15">
        <v>5000</v>
      </c>
      <c r="H130" s="4">
        <v>10</v>
      </c>
      <c r="I130" s="4">
        <f>tblSavedAppendSpeed[[#This Row],[Words Count]]*tblSavedAppendSpeed[[#This Row],[Word Length]]</f>
        <v>50000</v>
      </c>
      <c r="J130" s="16">
        <v>1.6E-2</v>
      </c>
      <c r="K130" s="6">
        <v>4.0000000000000001E-3</v>
      </c>
      <c r="L13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</v>
      </c>
    </row>
    <row r="131" spans="1:12" x14ac:dyDescent="0.25">
      <c r="A131">
        <v>4</v>
      </c>
      <c r="B131" t="s">
        <v>24</v>
      </c>
      <c r="C131" t="s">
        <v>16</v>
      </c>
      <c r="D131" t="s">
        <v>17</v>
      </c>
      <c r="E131" t="s">
        <v>25</v>
      </c>
      <c r="F131" t="s">
        <v>26</v>
      </c>
      <c r="G131" s="15">
        <v>10000</v>
      </c>
      <c r="H131" s="4">
        <v>5</v>
      </c>
      <c r="I131" s="4">
        <f>tblSavedAppendSpeed[[#This Row],[Words Count]]*tblSavedAppendSpeed[[#This Row],[Word Length]]</f>
        <v>50000</v>
      </c>
      <c r="J131" s="16">
        <v>3.5000000000000003E-2</v>
      </c>
      <c r="K131" s="6">
        <v>8.0000000000000002E-3</v>
      </c>
      <c r="L13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4.375</v>
      </c>
    </row>
    <row r="132" spans="1:12" x14ac:dyDescent="0.25">
      <c r="A132">
        <v>4</v>
      </c>
      <c r="B132" t="s">
        <v>24</v>
      </c>
      <c r="C132" t="s">
        <v>16</v>
      </c>
      <c r="D132" t="s">
        <v>17</v>
      </c>
      <c r="E132" t="s">
        <v>25</v>
      </c>
      <c r="F132" t="s">
        <v>26</v>
      </c>
      <c r="G132" s="15">
        <v>50000</v>
      </c>
      <c r="H132" s="4">
        <v>1</v>
      </c>
      <c r="I132" s="4">
        <f>tblSavedAppendSpeed[[#This Row],[Words Count]]*tblSavedAppendSpeed[[#This Row],[Word Length]]</f>
        <v>50000</v>
      </c>
      <c r="J132" s="16">
        <v>0.14099999999999999</v>
      </c>
      <c r="K132" s="6">
        <v>1.6E-2</v>
      </c>
      <c r="L13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8.8124999999999982</v>
      </c>
    </row>
    <row r="133" spans="1:12" x14ac:dyDescent="0.25">
      <c r="A133">
        <v>4</v>
      </c>
      <c r="B133" t="s">
        <v>24</v>
      </c>
      <c r="C133" t="s">
        <v>16</v>
      </c>
      <c r="D133" t="s">
        <v>17</v>
      </c>
      <c r="E133" t="s">
        <v>25</v>
      </c>
      <c r="F133" t="s">
        <v>26</v>
      </c>
      <c r="G133" s="15">
        <v>10</v>
      </c>
      <c r="H133" s="4">
        <v>10000</v>
      </c>
      <c r="I133" s="4">
        <f>tblSavedAppendSpeed[[#This Row],[Words Count]]*tblSavedAppendSpeed[[#This Row],[Word Length]]</f>
        <v>100000</v>
      </c>
      <c r="J133" s="16">
        <v>0</v>
      </c>
      <c r="K133" s="6">
        <v>0</v>
      </c>
      <c r="L13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34" spans="1:12" x14ac:dyDescent="0.25">
      <c r="A134">
        <v>4</v>
      </c>
      <c r="B134" t="s">
        <v>24</v>
      </c>
      <c r="C134" t="s">
        <v>16</v>
      </c>
      <c r="D134" t="s">
        <v>17</v>
      </c>
      <c r="E134" t="s">
        <v>25</v>
      </c>
      <c r="F134" t="s">
        <v>26</v>
      </c>
      <c r="G134" s="15">
        <v>100</v>
      </c>
      <c r="H134" s="4">
        <v>1000</v>
      </c>
      <c r="I134" s="4">
        <f>tblSavedAppendSpeed[[#This Row],[Words Count]]*tblSavedAppendSpeed[[#This Row],[Word Length]]</f>
        <v>100000</v>
      </c>
      <c r="J134" s="16">
        <v>0</v>
      </c>
      <c r="K134" s="6">
        <v>0</v>
      </c>
      <c r="L13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35" spans="1:12" x14ac:dyDescent="0.25">
      <c r="A135">
        <v>4</v>
      </c>
      <c r="B135" t="s">
        <v>24</v>
      </c>
      <c r="C135" t="s">
        <v>16</v>
      </c>
      <c r="D135" t="s">
        <v>17</v>
      </c>
      <c r="E135" t="s">
        <v>25</v>
      </c>
      <c r="F135" t="s">
        <v>26</v>
      </c>
      <c r="G135" s="15">
        <v>1000</v>
      </c>
      <c r="H135" s="4">
        <v>100</v>
      </c>
      <c r="I135" s="4">
        <f>tblSavedAppendSpeed[[#This Row],[Words Count]]*tblSavedAppendSpeed[[#This Row],[Word Length]]</f>
        <v>100000</v>
      </c>
      <c r="J135" s="16">
        <v>8.0000000000000002E-3</v>
      </c>
      <c r="K135" s="6">
        <v>0</v>
      </c>
      <c r="L13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136" spans="1:12" x14ac:dyDescent="0.25">
      <c r="A136">
        <v>4</v>
      </c>
      <c r="B136" t="s">
        <v>24</v>
      </c>
      <c r="C136" t="s">
        <v>16</v>
      </c>
      <c r="D136" t="s">
        <v>17</v>
      </c>
      <c r="E136" t="s">
        <v>25</v>
      </c>
      <c r="F136" t="s">
        <v>26</v>
      </c>
      <c r="G136" s="15">
        <v>10000</v>
      </c>
      <c r="H136" s="4">
        <v>10</v>
      </c>
      <c r="I136" s="4">
        <f>tblSavedAppendSpeed[[#This Row],[Words Count]]*tblSavedAppendSpeed[[#This Row],[Word Length]]</f>
        <v>100000</v>
      </c>
      <c r="J136" s="16">
        <v>6.6000000000000003E-2</v>
      </c>
      <c r="K136" s="6">
        <v>1.2E-2</v>
      </c>
      <c r="L13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5.5</v>
      </c>
    </row>
    <row r="137" spans="1:12" x14ac:dyDescent="0.25">
      <c r="A137">
        <v>4</v>
      </c>
      <c r="B137" t="s">
        <v>24</v>
      </c>
      <c r="C137" t="s">
        <v>16</v>
      </c>
      <c r="D137" t="s">
        <v>17</v>
      </c>
      <c r="E137" t="s">
        <v>25</v>
      </c>
      <c r="F137" t="s">
        <v>26</v>
      </c>
      <c r="G137" s="15">
        <v>20000</v>
      </c>
      <c r="H137" s="4">
        <v>5</v>
      </c>
      <c r="I137" s="4">
        <f>tblSavedAppendSpeed[[#This Row],[Words Count]]*tblSavedAppendSpeed[[#This Row],[Word Length]]</f>
        <v>100000</v>
      </c>
      <c r="J137" s="16">
        <v>0.152</v>
      </c>
      <c r="K137" s="6">
        <v>8.0000000000000002E-3</v>
      </c>
      <c r="L13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19</v>
      </c>
    </row>
    <row r="138" spans="1:12" x14ac:dyDescent="0.25">
      <c r="A138">
        <v>4</v>
      </c>
      <c r="B138" t="s">
        <v>24</v>
      </c>
      <c r="C138" t="s">
        <v>16</v>
      </c>
      <c r="D138" t="s">
        <v>17</v>
      </c>
      <c r="E138" t="s">
        <v>25</v>
      </c>
      <c r="F138" t="s">
        <v>26</v>
      </c>
      <c r="G138" s="15">
        <v>100000</v>
      </c>
      <c r="H138" s="4">
        <v>1</v>
      </c>
      <c r="I138" s="4">
        <f>tblSavedAppendSpeed[[#This Row],[Words Count]]*tblSavedAppendSpeed[[#This Row],[Word Length]]</f>
        <v>100000</v>
      </c>
      <c r="J138" s="16">
        <v>0.71899999999999997</v>
      </c>
      <c r="K138" s="6">
        <v>1.6E-2</v>
      </c>
      <c r="L13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44.9375</v>
      </c>
    </row>
    <row r="139" spans="1:12" x14ac:dyDescent="0.25">
      <c r="A139">
        <v>4</v>
      </c>
      <c r="B139" t="s">
        <v>24</v>
      </c>
      <c r="C139" t="s">
        <v>16</v>
      </c>
      <c r="D139" t="s">
        <v>17</v>
      </c>
      <c r="E139" t="s">
        <v>25</v>
      </c>
      <c r="F139" t="s">
        <v>26</v>
      </c>
      <c r="G139" s="15">
        <v>200</v>
      </c>
      <c r="H139" s="4">
        <v>1000</v>
      </c>
      <c r="I139" s="4">
        <f>tblSavedAppendSpeed[[#This Row],[Words Count]]*tblSavedAppendSpeed[[#This Row],[Word Length]]</f>
        <v>200000</v>
      </c>
      <c r="J139" s="16">
        <v>8.0000000000000002E-3</v>
      </c>
      <c r="K139" s="6">
        <v>0</v>
      </c>
      <c r="L13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140" spans="1:12" x14ac:dyDescent="0.25">
      <c r="A140">
        <v>4</v>
      </c>
      <c r="B140" t="s">
        <v>24</v>
      </c>
      <c r="C140" t="s">
        <v>16</v>
      </c>
      <c r="D140" t="s">
        <v>17</v>
      </c>
      <c r="E140" t="s">
        <v>25</v>
      </c>
      <c r="F140" t="s">
        <v>26</v>
      </c>
      <c r="G140" s="15">
        <v>100000</v>
      </c>
      <c r="H140" s="4">
        <v>2</v>
      </c>
      <c r="I140" s="4">
        <f>tblSavedAppendSpeed[[#This Row],[Words Count]]*tblSavedAppendSpeed[[#This Row],[Word Length]]</f>
        <v>200000</v>
      </c>
      <c r="J140" s="16">
        <v>1.5940000000000001</v>
      </c>
      <c r="K140" s="6">
        <v>1.6E-2</v>
      </c>
      <c r="L14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99.625</v>
      </c>
    </row>
    <row r="141" spans="1:12" x14ac:dyDescent="0.25">
      <c r="A141">
        <v>4</v>
      </c>
      <c r="B141" t="s">
        <v>24</v>
      </c>
      <c r="C141" t="s">
        <v>16</v>
      </c>
      <c r="D141" t="s">
        <v>17</v>
      </c>
      <c r="E141" t="s">
        <v>25</v>
      </c>
      <c r="F141" t="s">
        <v>26</v>
      </c>
      <c r="G141" s="15">
        <v>200000</v>
      </c>
      <c r="H141" s="4">
        <v>1</v>
      </c>
      <c r="I141" s="4">
        <f>tblSavedAppendSpeed[[#This Row],[Words Count]]*tblSavedAppendSpeed[[#This Row],[Word Length]]</f>
        <v>200000</v>
      </c>
      <c r="J141" s="16">
        <v>3.3359999999999999</v>
      </c>
      <c r="K141" s="6">
        <v>3.9E-2</v>
      </c>
      <c r="L14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85.538461538461533</v>
      </c>
    </row>
    <row r="142" spans="1:12" x14ac:dyDescent="0.25">
      <c r="A142">
        <v>4</v>
      </c>
      <c r="B142" t="s">
        <v>24</v>
      </c>
      <c r="C142" t="s">
        <v>16</v>
      </c>
      <c r="D142" t="s">
        <v>17</v>
      </c>
      <c r="E142" t="s">
        <v>25</v>
      </c>
      <c r="F142" t="s">
        <v>26</v>
      </c>
      <c r="G142" s="15">
        <v>50000</v>
      </c>
      <c r="H142" s="4">
        <v>5</v>
      </c>
      <c r="I142" s="4">
        <f>tblSavedAppendSpeed[[#This Row],[Words Count]]*tblSavedAppendSpeed[[#This Row],[Word Length]]</f>
        <v>250000</v>
      </c>
      <c r="J142" s="16">
        <v>0.98799999999999999</v>
      </c>
      <c r="K142" s="6">
        <v>1.2E-2</v>
      </c>
      <c r="L14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82.333333333333329</v>
      </c>
    </row>
    <row r="143" spans="1:12" x14ac:dyDescent="0.25">
      <c r="A143">
        <v>4</v>
      </c>
      <c r="B143" t="s">
        <v>24</v>
      </c>
      <c r="C143" t="s">
        <v>16</v>
      </c>
      <c r="D143" t="s">
        <v>17</v>
      </c>
      <c r="E143" t="s">
        <v>25</v>
      </c>
      <c r="F143" t="s">
        <v>26</v>
      </c>
      <c r="G143" s="15">
        <v>30000</v>
      </c>
      <c r="H143" s="4">
        <v>10</v>
      </c>
      <c r="I143" s="4">
        <f>tblSavedAppendSpeed[[#This Row],[Words Count]]*tblSavedAppendSpeed[[#This Row],[Word Length]]</f>
        <v>300000</v>
      </c>
      <c r="J143" s="16">
        <v>2.1560000000000001</v>
      </c>
      <c r="K143" s="6">
        <v>4.0000000000000001E-3</v>
      </c>
      <c r="L14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539</v>
      </c>
    </row>
    <row r="144" spans="1:12" x14ac:dyDescent="0.25">
      <c r="A144">
        <v>4</v>
      </c>
      <c r="B144" t="s">
        <v>24</v>
      </c>
      <c r="C144" t="s">
        <v>16</v>
      </c>
      <c r="D144" t="s">
        <v>17</v>
      </c>
      <c r="E144" t="s">
        <v>25</v>
      </c>
      <c r="F144" t="s">
        <v>26</v>
      </c>
      <c r="G144" s="15">
        <v>500</v>
      </c>
      <c r="H144" s="4">
        <v>1000</v>
      </c>
      <c r="I144" s="4">
        <f>tblSavedAppendSpeed[[#This Row],[Words Count]]*tblSavedAppendSpeed[[#This Row],[Word Length]]</f>
        <v>500000</v>
      </c>
      <c r="J144" s="16">
        <v>0.14099999999999999</v>
      </c>
      <c r="K144" s="6">
        <v>4.0000000000000001E-3</v>
      </c>
      <c r="L14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35.249999999999993</v>
      </c>
    </row>
    <row r="145" spans="1:12" x14ac:dyDescent="0.25">
      <c r="A145">
        <v>4</v>
      </c>
      <c r="B145" t="s">
        <v>24</v>
      </c>
      <c r="C145" t="s">
        <v>16</v>
      </c>
      <c r="D145" t="s">
        <v>17</v>
      </c>
      <c r="E145" t="s">
        <v>25</v>
      </c>
      <c r="F145" t="s">
        <v>26</v>
      </c>
      <c r="G145" s="15">
        <v>50000</v>
      </c>
      <c r="H145" s="4">
        <v>10</v>
      </c>
      <c r="I145" s="4">
        <f>tblSavedAppendSpeed[[#This Row],[Words Count]]*tblSavedAppendSpeed[[#This Row],[Word Length]]</f>
        <v>500000</v>
      </c>
      <c r="J145" s="16">
        <v>13.414</v>
      </c>
      <c r="K145" s="6">
        <v>0.02</v>
      </c>
      <c r="L14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670.69999999999993</v>
      </c>
    </row>
    <row r="146" spans="1:12" x14ac:dyDescent="0.25">
      <c r="A146">
        <v>4</v>
      </c>
      <c r="B146" t="s">
        <v>24</v>
      </c>
      <c r="C146" t="s">
        <v>16</v>
      </c>
      <c r="D146" t="s">
        <v>17</v>
      </c>
      <c r="E146" t="s">
        <v>25</v>
      </c>
      <c r="F146" t="s">
        <v>26</v>
      </c>
      <c r="G146" s="15">
        <v>100000</v>
      </c>
      <c r="H146" s="4">
        <v>5</v>
      </c>
      <c r="I146" s="4">
        <f>tblSavedAppendSpeed[[#This Row],[Words Count]]*tblSavedAppendSpeed[[#This Row],[Word Length]]</f>
        <v>500000</v>
      </c>
      <c r="J146" s="16">
        <v>27.097999999999999</v>
      </c>
      <c r="K146" s="6">
        <v>0.02</v>
      </c>
      <c r="L14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1354.8999999999999</v>
      </c>
    </row>
    <row r="147" spans="1:12" x14ac:dyDescent="0.25">
      <c r="A147">
        <v>4</v>
      </c>
      <c r="B147" t="s">
        <v>24</v>
      </c>
      <c r="C147" t="s">
        <v>16</v>
      </c>
      <c r="D147" t="s">
        <v>17</v>
      </c>
      <c r="E147" t="s">
        <v>25</v>
      </c>
      <c r="F147" t="s">
        <v>26</v>
      </c>
      <c r="G147" s="15">
        <v>100</v>
      </c>
      <c r="H147" s="4">
        <v>10000</v>
      </c>
      <c r="I147" s="4">
        <f>tblSavedAppendSpeed[[#This Row],[Words Count]]*tblSavedAppendSpeed[[#This Row],[Word Length]]</f>
        <v>1000000</v>
      </c>
      <c r="J147" s="16">
        <v>6.6000000000000003E-2</v>
      </c>
      <c r="K147" s="6">
        <v>1.2E-2</v>
      </c>
      <c r="L14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5.5</v>
      </c>
    </row>
    <row r="148" spans="1:12" x14ac:dyDescent="0.25">
      <c r="A148">
        <v>4</v>
      </c>
      <c r="B148" t="s">
        <v>24</v>
      </c>
      <c r="C148" t="s">
        <v>16</v>
      </c>
      <c r="D148" t="s">
        <v>17</v>
      </c>
      <c r="E148" t="s">
        <v>25</v>
      </c>
      <c r="F148" t="s">
        <v>26</v>
      </c>
      <c r="G148" s="15">
        <v>1000</v>
      </c>
      <c r="H148" s="4">
        <v>1000</v>
      </c>
      <c r="I148" s="4">
        <f>tblSavedAppendSpeed[[#This Row],[Words Count]]*tblSavedAppendSpeed[[#This Row],[Word Length]]</f>
        <v>1000000</v>
      </c>
      <c r="J148" s="16">
        <v>0.66400000000000003</v>
      </c>
      <c r="K148" s="6">
        <v>4.0000000000000001E-3</v>
      </c>
      <c r="L14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166</v>
      </c>
    </row>
    <row r="149" spans="1:12" x14ac:dyDescent="0.25">
      <c r="A149">
        <v>4</v>
      </c>
      <c r="B149" t="s">
        <v>24</v>
      </c>
      <c r="C149" t="s">
        <v>16</v>
      </c>
      <c r="D149" t="s">
        <v>17</v>
      </c>
      <c r="E149" t="s">
        <v>25</v>
      </c>
      <c r="F149" t="s">
        <v>26</v>
      </c>
      <c r="G149" s="15">
        <v>10000</v>
      </c>
      <c r="H149" s="4">
        <v>100</v>
      </c>
      <c r="I149" s="4">
        <f>tblSavedAppendSpeed[[#This Row],[Words Count]]*tblSavedAppendSpeed[[#This Row],[Word Length]]</f>
        <v>1000000</v>
      </c>
      <c r="J149" s="16">
        <v>6.5659999999999998</v>
      </c>
      <c r="K149" s="6">
        <v>0.02</v>
      </c>
      <c r="L14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328.3</v>
      </c>
    </row>
    <row r="150" spans="1:12" x14ac:dyDescent="0.25">
      <c r="A150">
        <v>4</v>
      </c>
      <c r="B150" t="s">
        <v>24</v>
      </c>
      <c r="C150" t="s">
        <v>16</v>
      </c>
      <c r="D150" t="s">
        <v>17</v>
      </c>
      <c r="E150" t="s">
        <v>25</v>
      </c>
      <c r="F150" t="s">
        <v>26</v>
      </c>
      <c r="G150" s="15">
        <v>100000</v>
      </c>
      <c r="H150" s="4">
        <v>10</v>
      </c>
      <c r="I150" s="4">
        <f>tblSavedAppendSpeed[[#This Row],[Words Count]]*tblSavedAppendSpeed[[#This Row],[Word Length]]</f>
        <v>1000000</v>
      </c>
      <c r="J150" s="16">
        <v>64.858999999999995</v>
      </c>
      <c r="K150" s="6">
        <v>2.7E-2</v>
      </c>
      <c r="L15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2402.1851851851852</v>
      </c>
    </row>
    <row r="151" spans="1:12" x14ac:dyDescent="0.25">
      <c r="A151">
        <v>4</v>
      </c>
      <c r="B151" t="s">
        <v>24</v>
      </c>
      <c r="C151" t="s">
        <v>16</v>
      </c>
      <c r="D151" t="s">
        <v>17</v>
      </c>
      <c r="E151" t="s">
        <v>25</v>
      </c>
      <c r="F151" t="s">
        <v>26</v>
      </c>
      <c r="G151" s="15">
        <v>1000000</v>
      </c>
      <c r="H151" s="4">
        <v>1</v>
      </c>
      <c r="I151" s="4">
        <f>tblSavedAppendSpeed[[#This Row],[Words Count]]*tblSavedAppendSpeed[[#This Row],[Word Length]]</f>
        <v>1000000</v>
      </c>
      <c r="J151" s="16">
        <v>655.91800000000001</v>
      </c>
      <c r="K151" s="6">
        <v>0.191</v>
      </c>
      <c r="L15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3434.1256544502617</v>
      </c>
    </row>
    <row r="152" spans="1:12" x14ac:dyDescent="0.25">
      <c r="A152">
        <v>4</v>
      </c>
      <c r="B152" t="s">
        <v>24</v>
      </c>
      <c r="C152" t="s">
        <v>16</v>
      </c>
      <c r="D152" t="s">
        <v>17</v>
      </c>
      <c r="E152" t="s">
        <v>25</v>
      </c>
      <c r="F152" t="s">
        <v>26</v>
      </c>
      <c r="G152" s="15">
        <v>200</v>
      </c>
      <c r="H152" s="4">
        <v>10000</v>
      </c>
      <c r="I152" s="4">
        <f>tblSavedAppendSpeed[[#This Row],[Words Count]]*tblSavedAppendSpeed[[#This Row],[Word Length]]</f>
        <v>2000000</v>
      </c>
      <c r="J152" s="16">
        <v>0.28899999999999998</v>
      </c>
      <c r="K152" s="6">
        <v>3.1E-2</v>
      </c>
      <c r="L15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9.32258064516129</v>
      </c>
    </row>
    <row r="153" spans="1:12" x14ac:dyDescent="0.25">
      <c r="A153">
        <v>4</v>
      </c>
      <c r="B153" t="s">
        <v>24</v>
      </c>
      <c r="C153" t="s">
        <v>16</v>
      </c>
      <c r="D153" t="s">
        <v>17</v>
      </c>
      <c r="E153" t="s">
        <v>25</v>
      </c>
      <c r="F153" t="s">
        <v>26</v>
      </c>
      <c r="G153" s="15">
        <v>500</v>
      </c>
      <c r="H153" s="4">
        <v>10000</v>
      </c>
      <c r="I153" s="4">
        <f>tblSavedAppendSpeed[[#This Row],[Words Count]]*tblSavedAppendSpeed[[#This Row],[Word Length]]</f>
        <v>5000000</v>
      </c>
      <c r="J153" s="16">
        <v>1.8520000000000001</v>
      </c>
      <c r="K153" s="6">
        <v>5.8999999999999997E-2</v>
      </c>
      <c r="L15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31.389830508474578</v>
      </c>
    </row>
    <row r="154" spans="1:12" x14ac:dyDescent="0.25">
      <c r="A154">
        <v>4</v>
      </c>
      <c r="B154" t="s">
        <v>24</v>
      </c>
      <c r="C154" t="s">
        <v>16</v>
      </c>
      <c r="D154" t="s">
        <v>17</v>
      </c>
      <c r="E154" t="s">
        <v>25</v>
      </c>
      <c r="F154" t="s">
        <v>26</v>
      </c>
      <c r="G154" s="15">
        <v>50000</v>
      </c>
      <c r="H154" s="4">
        <v>100</v>
      </c>
      <c r="I154" s="4">
        <f>tblSavedAppendSpeed[[#This Row],[Words Count]]*tblSavedAppendSpeed[[#This Row],[Word Length]]</f>
        <v>5000000</v>
      </c>
      <c r="J154" s="16">
        <v>177.59399999999999</v>
      </c>
      <c r="K154" s="6">
        <v>7.0000000000000007E-2</v>
      </c>
      <c r="L15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2537.0571428571425</v>
      </c>
    </row>
    <row r="155" spans="1:12" x14ac:dyDescent="0.25">
      <c r="A155">
        <v>4</v>
      </c>
      <c r="B155" t="s">
        <v>24</v>
      </c>
      <c r="C155" t="s">
        <v>16</v>
      </c>
      <c r="D155" t="s">
        <v>17</v>
      </c>
      <c r="E155" t="s">
        <v>25</v>
      </c>
      <c r="F155" t="s">
        <v>26</v>
      </c>
      <c r="G155" s="15">
        <v>10</v>
      </c>
      <c r="H155" s="4">
        <v>1000000</v>
      </c>
      <c r="I155" s="4">
        <f>tblSavedAppendSpeed[[#This Row],[Words Count]]*tblSavedAppendSpeed[[#This Row],[Word Length]]</f>
        <v>10000000</v>
      </c>
      <c r="J155" s="16">
        <v>9.8000000000000004E-2</v>
      </c>
      <c r="K155" s="6">
        <v>0.113</v>
      </c>
      <c r="L15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-1.153061224489796</v>
      </c>
    </row>
    <row r="156" spans="1:12" x14ac:dyDescent="0.25">
      <c r="A156">
        <v>4</v>
      </c>
      <c r="B156" t="s">
        <v>24</v>
      </c>
      <c r="C156" t="s">
        <v>16</v>
      </c>
      <c r="D156" t="s">
        <v>17</v>
      </c>
      <c r="E156" t="s">
        <v>25</v>
      </c>
      <c r="F156" t="s">
        <v>26</v>
      </c>
      <c r="G156" s="15">
        <v>100</v>
      </c>
      <c r="H156" s="4">
        <v>100000</v>
      </c>
      <c r="I156" s="4">
        <f>tblSavedAppendSpeed[[#This Row],[Words Count]]*tblSavedAppendSpeed[[#This Row],[Word Length]]</f>
        <v>10000000</v>
      </c>
      <c r="J156" s="16">
        <v>0.80100000000000005</v>
      </c>
      <c r="K156" s="6">
        <v>0.11700000000000001</v>
      </c>
      <c r="L15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6.8461538461538458</v>
      </c>
    </row>
    <row r="157" spans="1:12" x14ac:dyDescent="0.25">
      <c r="A157">
        <v>4</v>
      </c>
      <c r="B157" t="s">
        <v>24</v>
      </c>
      <c r="C157" t="s">
        <v>16</v>
      </c>
      <c r="D157" t="s">
        <v>17</v>
      </c>
      <c r="E157" t="s">
        <v>25</v>
      </c>
      <c r="F157" t="s">
        <v>26</v>
      </c>
      <c r="G157" s="15">
        <v>200</v>
      </c>
      <c r="H157" s="4">
        <v>50000</v>
      </c>
      <c r="I157" s="4">
        <f>tblSavedAppendSpeed[[#This Row],[Words Count]]*tblSavedAppendSpeed[[#This Row],[Word Length]]</f>
        <v>10000000</v>
      </c>
      <c r="J157" s="16">
        <v>1.5620000000000001</v>
      </c>
      <c r="K157" s="6">
        <v>0.11700000000000001</v>
      </c>
      <c r="L15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13.350427350427351</v>
      </c>
    </row>
    <row r="158" spans="1:12" x14ac:dyDescent="0.25">
      <c r="A158">
        <v>4</v>
      </c>
      <c r="B158" t="s">
        <v>24</v>
      </c>
      <c r="C158" t="s">
        <v>16</v>
      </c>
      <c r="D158" t="s">
        <v>17</v>
      </c>
      <c r="E158" t="s">
        <v>25</v>
      </c>
      <c r="F158" t="s">
        <v>26</v>
      </c>
      <c r="G158" s="15">
        <v>500</v>
      </c>
      <c r="H158" s="4">
        <v>20000</v>
      </c>
      <c r="I158" s="4">
        <f>tblSavedAppendSpeed[[#This Row],[Words Count]]*tblSavedAppendSpeed[[#This Row],[Word Length]]</f>
        <v>10000000</v>
      </c>
      <c r="J158" s="16">
        <v>3.8130000000000002</v>
      </c>
      <c r="K158" s="6">
        <v>9.8000000000000004E-2</v>
      </c>
      <c r="L15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38.908163265306122</v>
      </c>
    </row>
    <row r="159" spans="1:12" x14ac:dyDescent="0.25">
      <c r="A159">
        <v>4</v>
      </c>
      <c r="B159" t="s">
        <v>24</v>
      </c>
      <c r="C159" t="s">
        <v>16</v>
      </c>
      <c r="D159" t="s">
        <v>17</v>
      </c>
      <c r="E159" t="s">
        <v>25</v>
      </c>
      <c r="F159" t="s">
        <v>26</v>
      </c>
      <c r="G159" s="15">
        <v>1000</v>
      </c>
      <c r="H159" s="4">
        <v>10000</v>
      </c>
      <c r="I159" s="4">
        <f>tblSavedAppendSpeed[[#This Row],[Words Count]]*tblSavedAppendSpeed[[#This Row],[Word Length]]</f>
        <v>10000000</v>
      </c>
      <c r="J159" s="16">
        <v>7.6950000000000003</v>
      </c>
      <c r="K159" s="6">
        <v>0.11700000000000001</v>
      </c>
      <c r="L15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65.769230769230774</v>
      </c>
    </row>
    <row r="160" spans="1:12" x14ac:dyDescent="0.25">
      <c r="A160">
        <v>4</v>
      </c>
      <c r="B160" t="s">
        <v>24</v>
      </c>
      <c r="C160" t="s">
        <v>16</v>
      </c>
      <c r="D160" t="s">
        <v>17</v>
      </c>
      <c r="E160" t="s">
        <v>25</v>
      </c>
      <c r="F160" t="s">
        <v>26</v>
      </c>
      <c r="G160" s="15">
        <v>10000</v>
      </c>
      <c r="H160" s="4">
        <v>1000</v>
      </c>
      <c r="I160" s="4">
        <f>tblSavedAppendSpeed[[#This Row],[Words Count]]*tblSavedAppendSpeed[[#This Row],[Word Length]]</f>
        <v>10000000</v>
      </c>
      <c r="J160" s="16">
        <v>78.363</v>
      </c>
      <c r="K160" s="6">
        <v>0.156</v>
      </c>
      <c r="L16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502.32692307692309</v>
      </c>
    </row>
    <row r="161" spans="1:12" x14ac:dyDescent="0.25">
      <c r="A161">
        <v>4</v>
      </c>
      <c r="B161" t="s">
        <v>24</v>
      </c>
      <c r="C161" t="s">
        <v>16</v>
      </c>
      <c r="D161" t="s">
        <v>17</v>
      </c>
      <c r="E161" t="s">
        <v>25</v>
      </c>
      <c r="F161" t="s">
        <v>26</v>
      </c>
      <c r="G161" s="15">
        <v>50000</v>
      </c>
      <c r="H161" s="4">
        <v>200</v>
      </c>
      <c r="I161" s="4">
        <f>tblSavedAppendSpeed[[#This Row],[Words Count]]*tblSavedAppendSpeed[[#This Row],[Word Length]]</f>
        <v>10000000</v>
      </c>
      <c r="J161" s="16">
        <v>392.09399999999999</v>
      </c>
      <c r="K161" s="6">
        <v>0.14099999999999999</v>
      </c>
      <c r="L16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2780.8085106382982</v>
      </c>
    </row>
  </sheetData>
  <conditionalFormatting sqref="L2:L161">
    <cfRule type="dataBar" priority="4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{822295FD-C0FF-49EB-8043-7ACDB61AFF6B}</x14:id>
        </ext>
      </extLst>
    </cfRule>
  </conditionalFormatting>
  <conditionalFormatting sqref="J2:K161">
    <cfRule type="dataBar" priority="3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{18AE7A46-F61E-4E9C-BCF1-DBAC3542A526}</x14:id>
        </ext>
      </extLst>
    </cfRule>
  </conditionalFormatting>
  <conditionalFormatting sqref="I2:I161">
    <cfRule type="cellIs" dxfId="10" priority="2" operator="greaterThan">
      <formula>2147483647</formula>
    </cfRule>
  </conditionalFormatting>
  <conditionalFormatting sqref="A2:A161">
    <cfRule type="colorScale" priority="1">
      <colorScale>
        <cfvo type="min"/>
        <cfvo type="max"/>
        <color rgb="FFFFEF9C"/>
        <color rgb="FF63BE7B"/>
      </colorScale>
    </cfRule>
  </conditionalFormatting>
  <dataValidations disablePrompts="1" count="1">
    <dataValidation type="whole" allowBlank="1" showInputMessage="1" showErrorMessage="1" sqref="G2:H161" xr:uid="{BB4C611D-9B04-4A92-9A03-5E33419EA8C9}">
      <formula1>1</formula1>
      <formula2>2147483647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2295FD-C0FF-49EB-8043-7ACDB61AFF6B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L2:L161</xm:sqref>
        </x14:conditionalFormatting>
        <x14:conditionalFormatting xmlns:xm="http://schemas.microsoft.com/office/excel/2006/main">
          <x14:cfRule type="dataBar" id="{18AE7A46-F61E-4E9C-BCF1-DBAC3542A52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J2:K161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Append_Live Speed Tests</vt:lpstr>
      <vt:lpstr>Append_Saved Results</vt:lpstr>
      <vt:lpstr>'Append_Live Speed Tests'!Calculate</vt:lpstr>
      <vt:lpstr>'Append_Live Speed Tests'!TestNoBuffer</vt:lpstr>
      <vt:lpstr>'Append_Live Speed Tests'!TestWithBuffer</vt:lpstr>
      <vt:lpstr>'Append_Live Speed Tests'!WordLength</vt:lpstr>
      <vt:lpstr>'Append_Live Speed Tests'!WordsCount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Buse</dc:creator>
  <cp:lastModifiedBy>Cristian Buse</cp:lastModifiedBy>
  <dcterms:created xsi:type="dcterms:W3CDTF">2019-10-27T20:45:31Z</dcterms:created>
  <dcterms:modified xsi:type="dcterms:W3CDTF">2021-04-21T07:20:43Z</dcterms:modified>
</cp:coreProperties>
</file>